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D2DC1FAC-DD55-4DA4-807A-A16D770C385A}" xr6:coauthVersionLast="47" xr6:coauthVersionMax="47" xr10:uidLastSave="{00000000-0000-0000-0000-000000000000}"/>
  <bookViews>
    <workbookView xWindow="-120" yWindow="-120" windowWidth="29040" windowHeight="15720" activeTab="3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3" i="9" l="1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2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L3" i="10"/>
  <c r="L4" i="10"/>
  <c r="L5" i="10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I3" i="10" l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18" i="10" l="1"/>
  <c r="H19" i="10"/>
  <c r="H20" i="10"/>
  <c r="H21" i="10"/>
  <c r="H22" i="10"/>
  <c r="H23" i="10"/>
  <c r="R23" i="6"/>
  <c r="R29" i="6"/>
  <c r="R30" i="6"/>
  <c r="R31" i="6"/>
  <c r="R35" i="6"/>
  <c r="P23" i="6"/>
  <c r="P29" i="6"/>
  <c r="P30" i="6"/>
  <c r="P31" i="6"/>
  <c r="P35" i="6"/>
  <c r="N23" i="6"/>
  <c r="N29" i="6"/>
  <c r="N30" i="6"/>
  <c r="N31" i="6"/>
  <c r="N35" i="6"/>
  <c r="L23" i="6"/>
  <c r="L29" i="6"/>
  <c r="L30" i="6"/>
  <c r="L31" i="6"/>
  <c r="L35" i="6"/>
  <c r="J23" i="6"/>
  <c r="J29" i="6"/>
  <c r="J30" i="6"/>
  <c r="J31" i="6"/>
  <c r="J35" i="6"/>
  <c r="H23" i="6"/>
  <c r="H29" i="6"/>
  <c r="H30" i="6"/>
  <c r="H31" i="6"/>
  <c r="H35" i="6"/>
  <c r="B33" i="6" l="1" a="1"/>
  <c r="B33" i="6" s="1"/>
  <c r="B34" i="6" a="1"/>
  <c r="B34" i="6" s="1"/>
  <c r="Z3" i="9" l="1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B30" i="6" a="1"/>
  <c r="B30" i="6" s="1"/>
  <c r="B24" i="6" a="1"/>
  <c r="B24" i="6" s="1"/>
  <c r="A14" i="7" s="1"/>
  <c r="B32" i="6" a="1"/>
  <c r="B32" i="6" s="1"/>
  <c r="A144" i="7" l="1"/>
  <c r="V2" i="9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I26" i="19" l="1"/>
  <c r="I25" i="19"/>
  <c r="H10" i="10"/>
  <c r="J10" i="10" s="1"/>
  <c r="M10" i="10"/>
  <c r="H11" i="10"/>
  <c r="J11" i="10" s="1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F11" i="6" l="1" a="1"/>
  <c r="F11" i="6" s="1"/>
  <c r="F12" i="6" s="1" a="1"/>
  <c r="F12" i="6" s="1"/>
  <c r="S42" i="6"/>
  <c r="F43" i="6"/>
  <c r="I20" i="19"/>
  <c r="I19" i="19"/>
  <c r="I17" i="19"/>
  <c r="I15" i="19"/>
  <c r="B11" i="6"/>
  <c r="B15" i="6" a="1"/>
  <c r="B15" i="6" s="1"/>
  <c r="D15" i="6" s="1" a="1"/>
  <c r="D15" i="6" s="1"/>
  <c r="C15" i="6" s="1" a="1"/>
  <c r="C15" i="6" s="1"/>
  <c r="B28" i="6" a="1"/>
  <c r="B28" i="6" s="1"/>
  <c r="A18" i="7" s="1"/>
  <c r="B21" i="6" a="1"/>
  <c r="B21" i="6" s="1"/>
  <c r="B17" i="6" a="1"/>
  <c r="B17" i="6" s="1"/>
  <c r="B18" i="6" a="1"/>
  <c r="B18" i="6" s="1"/>
  <c r="B19" i="6" a="1"/>
  <c r="B19" i="6" s="1"/>
  <c r="B20" i="6" a="1"/>
  <c r="B20" i="6" s="1"/>
  <c r="B26" i="6" a="1"/>
  <c r="B26" i="6" s="1"/>
  <c r="A16" i="7" s="1"/>
  <c r="B37" i="6" a="1"/>
  <c r="B37" i="6" s="1"/>
  <c r="B22" i="6" a="1"/>
  <c r="B22" i="6" s="1"/>
  <c r="B27" i="6" a="1"/>
  <c r="B27" i="6" s="1"/>
  <c r="A17" i="7" s="1"/>
  <c r="B38" i="6" a="1"/>
  <c r="B38" i="6" s="1"/>
  <c r="P12" i="6" l="1"/>
  <c r="Q12" i="6" s="1"/>
  <c r="L12" i="6"/>
  <c r="N12" i="6"/>
  <c r="R12" i="6"/>
  <c r="H12" i="6"/>
  <c r="J12" i="6"/>
  <c r="O12" i="6"/>
  <c r="S12" i="6"/>
  <c r="F13" i="6" a="1"/>
  <c r="F13" i="6" s="1"/>
  <c r="L11" i="6"/>
  <c r="H11" i="6"/>
  <c r="P11" i="6"/>
  <c r="Q11" i="6" s="1"/>
  <c r="J11" i="6"/>
  <c r="N11" i="6"/>
  <c r="O11" i="6" s="1"/>
  <c r="R11" i="6"/>
  <c r="S11" i="6" s="1"/>
  <c r="C41" i="6"/>
  <c r="C42" i="6"/>
  <c r="C47" i="6"/>
  <c r="B14" i="6" a="1"/>
  <c r="B14" i="6" s="1"/>
  <c r="D14" i="6" s="1" a="1"/>
  <c r="D14" i="6" s="1"/>
  <c r="C14" i="6" s="1" a="1"/>
  <c r="C14" i="6" s="1"/>
  <c r="B12" i="6" a="1"/>
  <c r="B12" i="6" s="1"/>
  <c r="D26" i="6" a="1"/>
  <c r="D26" i="6" s="1"/>
  <c r="C26" i="6" s="1" a="1"/>
  <c r="C26" i="6" s="1"/>
  <c r="D19" i="6" a="1"/>
  <c r="D19" i="6" s="1"/>
  <c r="C19" i="6" s="1" a="1"/>
  <c r="C19" i="6" s="1"/>
  <c r="D18" i="6" a="1"/>
  <c r="D18" i="6" s="1"/>
  <c r="C18" i="6" s="1" a="1"/>
  <c r="C18" i="6" s="1"/>
  <c r="D21" i="6" a="1"/>
  <c r="D21" i="6" s="1"/>
  <c r="C21" i="6" s="1" a="1"/>
  <c r="C21" i="6" s="1"/>
  <c r="D28" i="6" a="1"/>
  <c r="D28" i="6" s="1"/>
  <c r="C28" i="6" s="1" a="1"/>
  <c r="C28" i="6" s="1"/>
  <c r="D24" i="6" a="1"/>
  <c r="D24" i="6" s="1"/>
  <c r="C24" i="6" s="1" a="1"/>
  <c r="C24" i="6" s="1"/>
  <c r="B14" i="7" s="1"/>
  <c r="E14" i="7" s="1" a="1"/>
  <c r="E14" i="7" s="1"/>
  <c r="D17" i="6" a="1"/>
  <c r="D17" i="6" s="1"/>
  <c r="C17" i="6" s="1" a="1"/>
  <c r="C17" i="6" s="1"/>
  <c r="D20" i="6" a="1"/>
  <c r="D20" i="6" s="1"/>
  <c r="C20" i="6" s="1" a="1"/>
  <c r="C20" i="6" s="1"/>
  <c r="D27" i="6" a="1"/>
  <c r="D27" i="6" s="1"/>
  <c r="C27" i="6" s="1" a="1"/>
  <c r="C27" i="6" s="1"/>
  <c r="D22" i="6" a="1"/>
  <c r="D22" i="6" s="1"/>
  <c r="C22" i="6" s="1" a="1"/>
  <c r="C22" i="6" s="1"/>
  <c r="B25" i="6"/>
  <c r="A15" i="7" s="1"/>
  <c r="B36" i="6" a="1"/>
  <c r="B36" i="6" s="1"/>
  <c r="D11" i="6" a="1"/>
  <c r="D11" i="6" s="1"/>
  <c r="C11" i="6" s="1" a="1"/>
  <c r="C11" i="6" s="1"/>
  <c r="C33" i="6"/>
  <c r="B16" i="6" a="1"/>
  <c r="B16" i="6" s="1"/>
  <c r="B13" i="6" a="1"/>
  <c r="B13" i="6" s="1"/>
  <c r="C38" i="6"/>
  <c r="C32" i="6"/>
  <c r="C34" i="6"/>
  <c r="C37" i="6"/>
  <c r="C46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F14" i="6" l="1" a="1"/>
  <c r="F14" i="6" s="1"/>
  <c r="R13" i="6"/>
  <c r="J13" i="6"/>
  <c r="P13" i="6"/>
  <c r="Q13" i="6" s="1"/>
  <c r="H13" i="6"/>
  <c r="L13" i="6"/>
  <c r="N13" i="6"/>
  <c r="O13" i="6"/>
  <c r="C43" i="6"/>
  <c r="C44" i="6"/>
  <c r="D13" i="6" a="1"/>
  <c r="D13" i="6" s="1"/>
  <c r="C13" i="6" s="1" a="1"/>
  <c r="C13" i="6" s="1"/>
  <c r="D25" i="6" a="1"/>
  <c r="D25" i="6" s="1"/>
  <c r="C25" i="6" s="1" a="1"/>
  <c r="C25" i="6" s="1"/>
  <c r="D16" i="6" a="1"/>
  <c r="D16" i="6" s="1"/>
  <c r="C16" i="6" s="1" a="1"/>
  <c r="C16" i="6" s="1"/>
  <c r="D12" i="6" a="1"/>
  <c r="D12" i="6" s="1"/>
  <c r="C12" i="6" s="1" a="1"/>
  <c r="C12" i="6" s="1"/>
  <c r="C36" i="6"/>
  <c r="C45" i="6" s="1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F15" i="6" l="1" a="1"/>
  <c r="F15" i="6" s="1"/>
  <c r="P15" i="6" s="1"/>
  <c r="H14" i="6"/>
  <c r="N14" i="6"/>
  <c r="O14" i="6" s="1"/>
  <c r="P14" i="6"/>
  <c r="Q14" i="6" s="1"/>
  <c r="R14" i="6"/>
  <c r="J14" i="6"/>
  <c r="L14" i="6"/>
  <c r="G12" i="6"/>
  <c r="G13" i="6"/>
  <c r="G11" i="6"/>
  <c r="G14" i="6"/>
  <c r="G47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L15" i="6" l="1"/>
  <c r="G15" i="6"/>
  <c r="J15" i="6"/>
  <c r="H15" i="6"/>
  <c r="N15" i="6"/>
  <c r="O15" i="6" s="1"/>
  <c r="F16" i="6" a="1"/>
  <c r="F16" i="6" s="1"/>
  <c r="H16" i="6" s="1"/>
  <c r="R15" i="6"/>
  <c r="Q15" i="6"/>
  <c r="D45" i="6"/>
  <c r="G16" i="6" l="1"/>
  <c r="B60" i="7" s="1"/>
  <c r="P16" i="6"/>
  <c r="N16" i="6"/>
  <c r="O16" i="6" s="1"/>
  <c r="J16" i="6"/>
  <c r="F17" i="6" a="1"/>
  <c r="F17" i="6" s="1"/>
  <c r="Q16" i="6"/>
  <c r="L16" i="6"/>
  <c r="R16" i="6"/>
  <c r="A25" i="7"/>
  <c r="D25" i="7" s="1"/>
  <c r="B25" i="7"/>
  <c r="B32" i="7"/>
  <c r="B39" i="7"/>
  <c r="B46" i="7"/>
  <c r="B53" i="7"/>
  <c r="B144" i="7"/>
  <c r="E144" i="7" s="1"/>
  <c r="B193" i="7"/>
  <c r="F18" i="6" l="1" a="1"/>
  <c r="F18" i="6" s="1"/>
  <c r="P17" i="6"/>
  <c r="Q17" i="6" s="1"/>
  <c r="J17" i="6"/>
  <c r="R17" i="6"/>
  <c r="G17" i="6"/>
  <c r="B67" i="7" s="1"/>
  <c r="H17" i="6"/>
  <c r="L17" i="6"/>
  <c r="N17" i="6"/>
  <c r="O17" i="6" s="1"/>
  <c r="A31" i="7"/>
  <c r="D31" i="7" s="1"/>
  <c r="B31" i="7"/>
  <c r="I11" i="6"/>
  <c r="Q18" i="6" l="1"/>
  <c r="L18" i="6"/>
  <c r="R18" i="6"/>
  <c r="H18" i="6"/>
  <c r="J18" i="6"/>
  <c r="N18" i="6"/>
  <c r="O18" i="6" s="1"/>
  <c r="P18" i="6"/>
  <c r="G18" i="6"/>
  <c r="B74" i="7" s="1"/>
  <c r="F19" i="6" a="1"/>
  <c r="F19" i="6" s="1"/>
  <c r="F20" i="6" s="1" a="1"/>
  <c r="F20" i="6" s="1"/>
  <c r="B30" i="7"/>
  <c r="B29" i="7"/>
  <c r="M11" i="6"/>
  <c r="B28" i="7" s="1"/>
  <c r="A29" i="7"/>
  <c r="D29" i="7" s="1"/>
  <c r="A30" i="7"/>
  <c r="D30" i="7" s="1"/>
  <c r="A28" i="7"/>
  <c r="D28" i="7" s="1"/>
  <c r="A26" i="7"/>
  <c r="D26" i="7" s="1"/>
  <c r="B201" i="7"/>
  <c r="D201" i="7"/>
  <c r="L20" i="6" l="1"/>
  <c r="M20" i="6" s="1"/>
  <c r="P20" i="6"/>
  <c r="Q20" i="6" s="1"/>
  <c r="H20" i="6"/>
  <c r="J20" i="6"/>
  <c r="G20" i="6"/>
  <c r="B88" i="7" s="1"/>
  <c r="R20" i="6"/>
  <c r="N20" i="6"/>
  <c r="O20" i="6" s="1"/>
  <c r="F21" i="6" a="1"/>
  <c r="F21" i="6" s="1"/>
  <c r="P19" i="6"/>
  <c r="Q19" i="6" s="1"/>
  <c r="J19" i="6"/>
  <c r="R19" i="6"/>
  <c r="L19" i="6"/>
  <c r="G19" i="6"/>
  <c r="B81" i="7" s="1"/>
  <c r="N19" i="6"/>
  <c r="O19" i="6" s="1"/>
  <c r="H19" i="6"/>
  <c r="B26" i="7"/>
  <c r="B202" i="7"/>
  <c r="A202" i="7"/>
  <c r="Q21" i="6" l="1"/>
  <c r="L21" i="6"/>
  <c r="J21" i="6"/>
  <c r="G21" i="6"/>
  <c r="B95" i="7" s="1"/>
  <c r="H21" i="6"/>
  <c r="R21" i="6"/>
  <c r="N21" i="6"/>
  <c r="O21" i="6" s="1"/>
  <c r="P21" i="6"/>
  <c r="F22" i="6" a="1"/>
  <c r="F22" i="6" s="1"/>
  <c r="B51" i="8"/>
  <c r="B52" i="8"/>
  <c r="B53" i="8"/>
  <c r="B54" i="8"/>
  <c r="B50" i="8"/>
  <c r="C51" i="8"/>
  <c r="C52" i="8"/>
  <c r="C53" i="8"/>
  <c r="C54" i="8"/>
  <c r="C50" i="8"/>
  <c r="R22" i="6" l="1"/>
  <c r="G22" i="6"/>
  <c r="J22" i="6"/>
  <c r="H22" i="6"/>
  <c r="F24" i="6" a="1"/>
  <c r="F24" i="6" s="1"/>
  <c r="S23" i="6"/>
  <c r="P22" i="6"/>
  <c r="Q22" i="6" s="1"/>
  <c r="L22" i="6"/>
  <c r="N22" i="6"/>
  <c r="O22" i="6" s="1"/>
  <c r="B58" i="8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F25" i="6" l="1" a="1"/>
  <c r="F25" i="6" s="1"/>
  <c r="L24" i="6"/>
  <c r="A112" i="7" s="1"/>
  <c r="D112" i="7" s="1"/>
  <c r="R24" i="6"/>
  <c r="A115" i="7" s="1"/>
  <c r="D115" i="7" s="1"/>
  <c r="N24" i="6"/>
  <c r="A113" i="7" s="1"/>
  <c r="D113" i="7" s="1"/>
  <c r="H24" i="6"/>
  <c r="A110" i="7" s="1"/>
  <c r="D110" i="7" s="1"/>
  <c r="A109" i="7"/>
  <c r="D109" i="7" s="1"/>
  <c r="P24" i="6"/>
  <c r="A114" i="7" s="1"/>
  <c r="D114" i="7" s="1"/>
  <c r="J24" i="6"/>
  <c r="A111" i="7" s="1"/>
  <c r="D111" i="7" s="1"/>
  <c r="G24" i="6"/>
  <c r="B109" i="7" s="1"/>
  <c r="I24" i="6"/>
  <c r="B110" i="7" s="1"/>
  <c r="M24" i="6"/>
  <c r="M21" i="6"/>
  <c r="K21" i="6"/>
  <c r="S21" i="6"/>
  <c r="I21" i="6"/>
  <c r="K20" i="6"/>
  <c r="I20" i="6"/>
  <c r="S20" i="6"/>
  <c r="K19" i="6"/>
  <c r="I19" i="6"/>
  <c r="S19" i="6"/>
  <c r="M19" i="6"/>
  <c r="K18" i="6"/>
  <c r="S18" i="6"/>
  <c r="I18" i="6"/>
  <c r="M18" i="6"/>
  <c r="M17" i="6"/>
  <c r="I17" i="6"/>
  <c r="K17" i="6"/>
  <c r="S17" i="6"/>
  <c r="I16" i="6"/>
  <c r="K16" i="6"/>
  <c r="M16" i="6"/>
  <c r="S16" i="6"/>
  <c r="M15" i="6"/>
  <c r="I15" i="6"/>
  <c r="S15" i="6"/>
  <c r="K15" i="6"/>
  <c r="I14" i="6"/>
  <c r="S14" i="6"/>
  <c r="K14" i="6"/>
  <c r="M14" i="6"/>
  <c r="K13" i="6"/>
  <c r="S13" i="6"/>
  <c r="I13" i="6"/>
  <c r="M13" i="6"/>
  <c r="K12" i="6"/>
  <c r="M12" i="6"/>
  <c r="I12" i="6"/>
  <c r="F26" i="6" l="1" a="1"/>
  <c r="F26" i="6" s="1"/>
  <c r="F27" i="6" s="1" a="1"/>
  <c r="F27" i="6" s="1"/>
  <c r="O24" i="6"/>
  <c r="S24" i="6"/>
  <c r="Q24" i="6"/>
  <c r="H25" i="6"/>
  <c r="A117" i="7" s="1"/>
  <c r="D117" i="7" s="1"/>
  <c r="L25" i="6"/>
  <c r="A119" i="7" s="1"/>
  <c r="D119" i="7" s="1"/>
  <c r="R25" i="6"/>
  <c r="A122" i="7" s="1"/>
  <c r="D122" i="7" s="1"/>
  <c r="A116" i="7"/>
  <c r="D116" i="7" s="1"/>
  <c r="J25" i="6"/>
  <c r="A118" i="7" s="1"/>
  <c r="D118" i="7" s="1"/>
  <c r="G25" i="6"/>
  <c r="B116" i="7" s="1"/>
  <c r="N25" i="6"/>
  <c r="A120" i="7" s="1"/>
  <c r="D120" i="7" s="1"/>
  <c r="P25" i="6"/>
  <c r="A121" i="7" s="1"/>
  <c r="D121" i="7" s="1"/>
  <c r="S25" i="6"/>
  <c r="I25" i="6"/>
  <c r="B117" i="7" s="1"/>
  <c r="K25" i="6"/>
  <c r="K24" i="6"/>
  <c r="B45" i="7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S22" i="6"/>
  <c r="B68" i="7"/>
  <c r="I22" i="6"/>
  <c r="B82" i="7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P27" i="6" l="1"/>
  <c r="A135" i="7" s="1"/>
  <c r="D135" i="7" s="1"/>
  <c r="H27" i="6"/>
  <c r="A131" i="7" s="1"/>
  <c r="D131" i="7" s="1"/>
  <c r="R27" i="6"/>
  <c r="A136" i="7" s="1"/>
  <c r="D136" i="7" s="1"/>
  <c r="J27" i="6"/>
  <c r="A132" i="7" s="1"/>
  <c r="D132" i="7" s="1"/>
  <c r="A130" i="7"/>
  <c r="D130" i="7" s="1"/>
  <c r="L27" i="6"/>
  <c r="A133" i="7" s="1"/>
  <c r="D133" i="7" s="1"/>
  <c r="G27" i="6"/>
  <c r="B130" i="7" s="1"/>
  <c r="N27" i="6"/>
  <c r="A134" i="7" s="1"/>
  <c r="D134" i="7" s="1"/>
  <c r="F28" i="6" a="1"/>
  <c r="F28" i="6" s="1"/>
  <c r="S26" i="6"/>
  <c r="B129" i="7" s="1"/>
  <c r="K26" i="6"/>
  <c r="B125" i="7" s="1"/>
  <c r="O25" i="6"/>
  <c r="Q25" i="6"/>
  <c r="A123" i="7"/>
  <c r="D123" i="7" s="1"/>
  <c r="H26" i="6"/>
  <c r="A124" i="7" s="1"/>
  <c r="D124" i="7" s="1"/>
  <c r="L26" i="6"/>
  <c r="A126" i="7" s="1"/>
  <c r="D126" i="7" s="1"/>
  <c r="J26" i="6"/>
  <c r="A125" i="7" s="1"/>
  <c r="D125" i="7" s="1"/>
  <c r="N26" i="6"/>
  <c r="A127" i="7" s="1"/>
  <c r="D127" i="7" s="1"/>
  <c r="R26" i="6"/>
  <c r="A129" i="7" s="1"/>
  <c r="D129" i="7" s="1"/>
  <c r="P26" i="6"/>
  <c r="A128" i="7" s="1"/>
  <c r="D128" i="7" s="1"/>
  <c r="G26" i="6"/>
  <c r="B123" i="7" s="1"/>
  <c r="I26" i="6"/>
  <c r="B124" i="7" s="1"/>
  <c r="M25" i="6"/>
  <c r="I27" i="6"/>
  <c r="B131" i="7" s="1"/>
  <c r="K27" i="6"/>
  <c r="B132" i="7" s="1"/>
  <c r="S27" i="6"/>
  <c r="B136" i="7" s="1"/>
  <c r="B107" i="7"/>
  <c r="B106" i="7"/>
  <c r="B113" i="7"/>
  <c r="M22" i="6"/>
  <c r="B105" i="7" s="1"/>
  <c r="K22" i="6"/>
  <c r="B104" i="7" s="1"/>
  <c r="B112" i="7"/>
  <c r="B119" i="7"/>
  <c r="B115" i="7"/>
  <c r="A103" i="7"/>
  <c r="D103" i="7" s="1"/>
  <c r="B114" i="7"/>
  <c r="B121" i="7"/>
  <c r="B111" i="7"/>
  <c r="B122" i="7"/>
  <c r="B118" i="7"/>
  <c r="B120" i="7"/>
  <c r="A104" i="7"/>
  <c r="D104" i="7" s="1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A137" i="7" l="1"/>
  <c r="D137" i="7" s="1"/>
  <c r="L28" i="6"/>
  <c r="A140" i="7" s="1"/>
  <c r="D140" i="7" s="1"/>
  <c r="M27" i="6"/>
  <c r="B133" i="7" s="1"/>
  <c r="F32" i="6" a="1"/>
  <c r="F32" i="6" s="1"/>
  <c r="F33" i="6" s="1" a="1"/>
  <c r="F33" i="6" s="1"/>
  <c r="O27" i="6"/>
  <c r="B134" i="7" s="1"/>
  <c r="M26" i="6"/>
  <c r="B126" i="7" s="1"/>
  <c r="Q26" i="6"/>
  <c r="B128" i="7" s="1"/>
  <c r="R28" i="6"/>
  <c r="A143" i="7" s="1"/>
  <c r="D143" i="7" s="1"/>
  <c r="H28" i="6"/>
  <c r="A138" i="7" s="1"/>
  <c r="D138" i="7" s="1"/>
  <c r="J28" i="6"/>
  <c r="A139" i="7" s="1"/>
  <c r="D139" i="7" s="1"/>
  <c r="P28" i="6"/>
  <c r="A142" i="7" s="1"/>
  <c r="D142" i="7" s="1"/>
  <c r="N28" i="6"/>
  <c r="A141" i="7" s="1"/>
  <c r="D141" i="7" s="1"/>
  <c r="Q27" i="6"/>
  <c r="B135" i="7" s="1"/>
  <c r="G28" i="6"/>
  <c r="B137" i="7" s="1"/>
  <c r="O26" i="6"/>
  <c r="B127" i="7" s="1"/>
  <c r="M28" i="6"/>
  <c r="B140" i="7" s="1"/>
  <c r="O28" i="6"/>
  <c r="B141" i="7" s="1"/>
  <c r="K28" i="6"/>
  <c r="B139" i="7" s="1"/>
  <c r="B103" i="7"/>
  <c r="B19" i="7"/>
  <c r="E19" i="7" s="1"/>
  <c r="C57" i="8"/>
  <c r="C58" i="8"/>
  <c r="B20" i="7"/>
  <c r="E20" i="7" s="1"/>
  <c r="B24" i="7"/>
  <c r="E24" i="7" s="1"/>
  <c r="C62" i="8"/>
  <c r="C61" i="8"/>
  <c r="B23" i="7"/>
  <c r="E23" i="7" s="1"/>
  <c r="B22" i="7"/>
  <c r="E22" i="7" s="1"/>
  <c r="C60" i="8"/>
  <c r="C59" i="8"/>
  <c r="B21" i="7"/>
  <c r="E21" i="7" s="1"/>
  <c r="G33" i="6" l="1"/>
  <c r="B152" i="7" s="1"/>
  <c r="I28" i="6"/>
  <c r="B138" i="7" s="1"/>
  <c r="P32" i="6"/>
  <c r="Q32" i="6"/>
  <c r="G32" i="6"/>
  <c r="B145" i="7" s="1"/>
  <c r="A145" i="7"/>
  <c r="D145" i="7" s="1"/>
  <c r="R32" i="6"/>
  <c r="S32" i="6" s="1"/>
  <c r="L32" i="6"/>
  <c r="M32" i="6" s="1"/>
  <c r="Q28" i="6"/>
  <c r="B142" i="7" s="1"/>
  <c r="H32" i="6"/>
  <c r="I32" i="6" s="1"/>
  <c r="S28" i="6"/>
  <c r="B143" i="7" s="1"/>
  <c r="N32" i="6"/>
  <c r="O32" i="6" s="1"/>
  <c r="J32" i="6"/>
  <c r="K32" i="6" s="1"/>
  <c r="B147" i="7" s="1"/>
  <c r="F34" i="6" a="1"/>
  <c r="F34" i="6" s="1"/>
  <c r="R33" i="6"/>
  <c r="S33" i="6" s="1"/>
  <c r="B158" i="7" s="1"/>
  <c r="L33" i="6"/>
  <c r="M33" i="6" s="1"/>
  <c r="B155" i="7" s="1"/>
  <c r="H33" i="6"/>
  <c r="A153" i="7" s="1"/>
  <c r="D153" i="7" s="1"/>
  <c r="P33" i="6"/>
  <c r="Q33" i="6" s="1"/>
  <c r="J33" i="6"/>
  <c r="K33" i="6" s="1"/>
  <c r="A152" i="7"/>
  <c r="D152" i="7" s="1"/>
  <c r="N33" i="6"/>
  <c r="O33" i="6" s="1"/>
  <c r="B156" i="7" s="1"/>
  <c r="A157" i="7"/>
  <c r="D157" i="7" s="1"/>
  <c r="A146" i="7"/>
  <c r="D146" i="7" s="1"/>
  <c r="A147" i="7"/>
  <c r="D147" i="7" s="1"/>
  <c r="A148" i="7"/>
  <c r="D148" i="7" s="1"/>
  <c r="A154" i="7"/>
  <c r="D154" i="7" s="1"/>
  <c r="A149" i="7"/>
  <c r="D149" i="7" s="1"/>
  <c r="A151" i="7"/>
  <c r="D151" i="7" s="1"/>
  <c r="D36" i="8" a="1"/>
  <c r="D36" i="8" s="1"/>
  <c r="B150" i="7"/>
  <c r="A150" i="7"/>
  <c r="D150" i="7" s="1"/>
  <c r="A155" i="7" l="1"/>
  <c r="D155" i="7" s="1"/>
  <c r="L34" i="6"/>
  <c r="M34" i="6" s="1"/>
  <c r="B162" i="7" s="1"/>
  <c r="I33" i="6"/>
  <c r="B153" i="7" s="1"/>
  <c r="A156" i="7"/>
  <c r="D156" i="7" s="1"/>
  <c r="R34" i="6"/>
  <c r="S34" i="6" s="1"/>
  <c r="B165" i="7" s="1"/>
  <c r="H34" i="6"/>
  <c r="I34" i="6" s="1"/>
  <c r="B160" i="7" s="1"/>
  <c r="N34" i="6"/>
  <c r="O34" i="6" s="1"/>
  <c r="B163" i="7" s="1"/>
  <c r="P34" i="6"/>
  <c r="Q34" i="6" s="1"/>
  <c r="A159" i="7"/>
  <c r="D159" i="7" s="1"/>
  <c r="F36" i="6" a="1"/>
  <c r="F36" i="6" s="1"/>
  <c r="G34" i="6"/>
  <c r="B159" i="7" s="1"/>
  <c r="J34" i="6"/>
  <c r="A158" i="7"/>
  <c r="D158" i="7" s="1"/>
  <c r="A162" i="7"/>
  <c r="D162" i="7" s="1"/>
  <c r="F36" i="8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33" i="8" a="1"/>
  <c r="C33" i="8" s="1"/>
  <c r="B149" i="7"/>
  <c r="G33" i="8" a="1"/>
  <c r="G33" i="8" s="1"/>
  <c r="B151" i="7"/>
  <c r="I33" i="8" a="1"/>
  <c r="I33" i="8" s="1"/>
  <c r="B157" i="7"/>
  <c r="B154" i="7"/>
  <c r="B146" i="7"/>
  <c r="B148" i="7"/>
  <c r="A160" i="7" l="1"/>
  <c r="D160" i="7" s="1"/>
  <c r="J36" i="6"/>
  <c r="A168" i="7" s="1"/>
  <c r="D168" i="7" s="1"/>
  <c r="A163" i="7"/>
  <c r="D163" i="7" s="1"/>
  <c r="A165" i="7"/>
  <c r="D165" i="7" s="1"/>
  <c r="K34" i="6"/>
  <c r="B161" i="7" s="1"/>
  <c r="A161" i="7"/>
  <c r="D161" i="7" s="1"/>
  <c r="L36" i="6"/>
  <c r="A169" i="7" s="1"/>
  <c r="D169" i="7" s="1"/>
  <c r="A166" i="7"/>
  <c r="D166" i="7" s="1"/>
  <c r="F37" i="6" a="1"/>
  <c r="F37" i="6" s="1"/>
  <c r="P36" i="6"/>
  <c r="A171" i="7" s="1"/>
  <c r="D171" i="7" s="1"/>
  <c r="G36" i="6"/>
  <c r="B166" i="7" s="1"/>
  <c r="H36" i="6"/>
  <c r="A167" i="7" s="1"/>
  <c r="D167" i="7" s="1"/>
  <c r="N36" i="6"/>
  <c r="O36" i="6" s="1"/>
  <c r="B164" i="7"/>
  <c r="A164" i="7"/>
  <c r="D164" i="7" s="1"/>
  <c r="R36" i="6"/>
  <c r="A172" i="7" s="1"/>
  <c r="D172" i="7" s="1"/>
  <c r="K36" i="6"/>
  <c r="B168" i="7" s="1"/>
  <c r="K11" i="6"/>
  <c r="B27" i="7" s="1"/>
  <c r="A27" i="7"/>
  <c r="D27" i="7" s="1"/>
  <c r="R37" i="6" l="1"/>
  <c r="A179" i="7" s="1"/>
  <c r="D179" i="7" s="1"/>
  <c r="Q36" i="6"/>
  <c r="M36" i="6"/>
  <c r="B169" i="7" s="1"/>
  <c r="B171" i="7"/>
  <c r="A173" i="7"/>
  <c r="D173" i="7" s="1"/>
  <c r="N37" i="6"/>
  <c r="O37" i="6" s="1"/>
  <c r="B177" i="7" s="1"/>
  <c r="P37" i="6"/>
  <c r="A178" i="7" s="1"/>
  <c r="D178" i="7" s="1"/>
  <c r="L37" i="6"/>
  <c r="A176" i="7" s="1"/>
  <c r="D176" i="7" s="1"/>
  <c r="G37" i="6"/>
  <c r="B173" i="7" s="1"/>
  <c r="I36" i="6"/>
  <c r="B167" i="7" s="1"/>
  <c r="H37" i="6"/>
  <c r="A174" i="7" s="1"/>
  <c r="D174" i="7" s="1"/>
  <c r="J37" i="6"/>
  <c r="A175" i="7" s="1"/>
  <c r="D175" i="7" s="1"/>
  <c r="S36" i="6"/>
  <c r="B172" i="7" s="1"/>
  <c r="F38" i="6" a="1"/>
  <c r="F38" i="6" s="1"/>
  <c r="A177" i="7"/>
  <c r="D177" i="7" s="1"/>
  <c r="B170" i="7"/>
  <c r="A170" i="7"/>
  <c r="D170" i="7" s="1"/>
  <c r="S37" i="6" l="1"/>
  <c r="B179" i="7" s="1"/>
  <c r="R38" i="6"/>
  <c r="A186" i="7" s="1"/>
  <c r="D186" i="7" s="1"/>
  <c r="Q37" i="6"/>
  <c r="B178" i="7" s="1"/>
  <c r="I37" i="6"/>
  <c r="B174" i="7" s="1"/>
  <c r="K37" i="6"/>
  <c r="B175" i="7" s="1"/>
  <c r="M37" i="6"/>
  <c r="B176" i="7" s="1"/>
  <c r="N38" i="6"/>
  <c r="A184" i="7" s="1"/>
  <c r="D184" i="7" s="1"/>
  <c r="A180" i="7"/>
  <c r="D180" i="7" s="1"/>
  <c r="G38" i="6"/>
  <c r="B180" i="7" s="1"/>
  <c r="H38" i="6"/>
  <c r="A181" i="7" s="1"/>
  <c r="D181" i="7" s="1"/>
  <c r="B26" i="8" a="1"/>
  <c r="S38" i="6"/>
  <c r="B186" i="7" s="1"/>
  <c r="P38" i="6"/>
  <c r="A185" i="7" s="1"/>
  <c r="D185" i="7" s="1"/>
  <c r="L38" i="6"/>
  <c r="A183" i="7" s="1"/>
  <c r="D183" i="7" s="1"/>
  <c r="J38" i="6"/>
  <c r="A182" i="7" s="1"/>
  <c r="D182" i="7" s="1"/>
  <c r="H33" i="8" a="1"/>
  <c r="H33" i="8" s="1"/>
  <c r="Q38" i="6" l="1"/>
  <c r="B26" i="8"/>
  <c r="G26" i="8" s="1" a="1"/>
  <c r="G26" i="8" s="1"/>
  <c r="I32" i="8" a="1"/>
  <c r="I32" i="8" s="1"/>
  <c r="D29" i="8" a="1"/>
  <c r="D29" i="8" s="1"/>
  <c r="G31" i="8" a="1"/>
  <c r="G31" i="8" s="1"/>
  <c r="C28" i="8" a="1"/>
  <c r="C28" i="8" s="1"/>
  <c r="C31" i="8" a="1"/>
  <c r="C31" i="8" s="1"/>
  <c r="F27" i="8" a="1"/>
  <c r="F27" i="8" s="1"/>
  <c r="G30" i="8" a="1"/>
  <c r="G30" i="8" s="1"/>
  <c r="D32" i="8" a="1"/>
  <c r="D32" i="8" s="1"/>
  <c r="H31" i="8" a="1"/>
  <c r="H31" i="8" s="1"/>
  <c r="E28" i="8" a="1"/>
  <c r="E28" i="8" s="1"/>
  <c r="G29" i="8" a="1"/>
  <c r="G29" i="8" s="1"/>
  <c r="D31" i="8" a="1"/>
  <c r="D31" i="8" s="1"/>
  <c r="I29" i="8" a="1"/>
  <c r="I29" i="8" s="1"/>
  <c r="C30" i="8" a="1"/>
  <c r="C30" i="8" s="1"/>
  <c r="F31" i="8" a="1"/>
  <c r="F31" i="8" s="1"/>
  <c r="H30" i="8" a="1"/>
  <c r="H30" i="8" s="1"/>
  <c r="C27" i="8" a="1"/>
  <c r="C27" i="8" s="1"/>
  <c r="G28" i="8" a="1"/>
  <c r="G28" i="8" s="1"/>
  <c r="I30" i="8" a="1"/>
  <c r="I30" i="8" s="1"/>
  <c r="F32" i="8" a="1"/>
  <c r="F32" i="8" s="1"/>
  <c r="E30" i="8" a="1"/>
  <c r="E30" i="8" s="1"/>
  <c r="F28" i="8" a="1"/>
  <c r="F28" i="8" s="1"/>
  <c r="C29" i="8" a="1"/>
  <c r="C29" i="8" s="1"/>
  <c r="I28" i="8" a="1"/>
  <c r="I28" i="8" s="1"/>
  <c r="F30" i="8" a="1"/>
  <c r="F30" i="8" s="1"/>
  <c r="I31" i="8" a="1"/>
  <c r="I31" i="8" s="1"/>
  <c r="G27" i="8" a="1"/>
  <c r="G27" i="8" s="1"/>
  <c r="H27" i="8" a="1"/>
  <c r="H27" i="8" s="1"/>
  <c r="E31" i="8" a="1"/>
  <c r="E31" i="8" s="1"/>
  <c r="D27" i="8" a="1"/>
  <c r="D27" i="8" s="1"/>
  <c r="E32" i="8" a="1"/>
  <c r="E32" i="8" s="1"/>
  <c r="H28" i="8" a="1"/>
  <c r="H28" i="8" s="1"/>
  <c r="H32" i="8" a="1"/>
  <c r="H32" i="8" s="1"/>
  <c r="D28" i="8" a="1"/>
  <c r="D28" i="8" s="1"/>
  <c r="I27" i="8" a="1"/>
  <c r="I27" i="8" s="1"/>
  <c r="G32" i="8" a="1"/>
  <c r="G32" i="8" s="1"/>
  <c r="C32" i="8" a="1"/>
  <c r="C32" i="8" s="1"/>
  <c r="D30" i="8" a="1"/>
  <c r="D30" i="8" s="1"/>
  <c r="F29" i="8" a="1"/>
  <c r="F29" i="8" s="1"/>
  <c r="H29" i="8" a="1"/>
  <c r="H29" i="8" s="1"/>
  <c r="E27" i="8" a="1"/>
  <c r="E27" i="8" s="1"/>
  <c r="E29" i="8" a="1"/>
  <c r="E29" i="8" s="1"/>
  <c r="B185" i="7"/>
  <c r="O38" i="6"/>
  <c r="B184" i="7" s="1"/>
  <c r="I38" i="6"/>
  <c r="B181" i="7" s="1"/>
  <c r="M38" i="6"/>
  <c r="M41" i="6" s="1"/>
  <c r="B198" i="7" s="1"/>
  <c r="S41" i="6"/>
  <c r="G41" i="6"/>
  <c r="B195" i="7" s="1"/>
  <c r="I26" i="8" a="1"/>
  <c r="I26" i="8" s="1"/>
  <c r="C26" i="8" a="1"/>
  <c r="C26" i="8" s="1"/>
  <c r="E26" i="8" a="1"/>
  <c r="E26" i="8" s="1"/>
  <c r="D26" i="8" a="1"/>
  <c r="D26" i="8" s="1"/>
  <c r="H26" i="8" a="1"/>
  <c r="H26" i="8" s="1"/>
  <c r="F26" i="8" a="1"/>
  <c r="F26" i="8" s="1"/>
  <c r="K38" i="6"/>
  <c r="Q41" i="6"/>
  <c r="O41" i="6" l="1"/>
  <c r="B199" i="7" s="1"/>
  <c r="B200" i="7"/>
  <c r="I41" i="6"/>
  <c r="B196" i="7" s="1"/>
  <c r="B183" i="7"/>
  <c r="B182" i="7"/>
  <c r="K41" i="6"/>
  <c r="B197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<sst xmlns="http://schemas.openxmlformats.org/spreadsheetml/2006/main" count="203" uniqueCount="116">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</sst>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4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0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39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2" fillId="8" borderId="9" xfId="0" applyFont="1" applyFill="1" applyBorder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44" xfId="0" applyBorder="1"/>
    <xf numFmtId="0" fontId="0" fillId="0" borderId="3" xfId="0" applyBorder="1"/>
    <xf numFmtId="0" fontId="2" fillId="0" borderId="45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3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0" fillId="0" borderId="47" xfId="0" applyBorder="1"/>
    <xf numFmtId="0" fontId="0" fillId="0" borderId="46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48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2" fillId="8" borderId="6" xfId="0" applyFont="1" applyFill="1" applyBorder="1" applyAlignment="1">
      <alignment horizontal="center"/>
    </xf>
    <xf numFmtId="0" fontId="3" fillId="8" borderId="24" xfId="0" applyFont="1" applyFill="1" applyBorder="1" applyAlignment="1">
      <alignment horizontal="center"/>
    </xf>
    <xf numFmtId="0" fontId="3" fillId="4" borderId="24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2" fillId="4" borderId="9" xfId="0" applyFont="1" applyFill="1" applyBorder="1" applyAlignment="1" applyProtection="1">
      <alignment horizontal="center"/>
      <protection locked="0"/>
    </xf>
    <xf numFmtId="0" fontId="0" fillId="4" borderId="9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9" xfId="0" applyFill="1" applyBorder="1"/>
    <xf numFmtId="0" fontId="0" fillId="0" borderId="9" xfId="0" applyBorder="1"/>
    <xf numFmtId="0" fontId="2" fillId="6" borderId="9" xfId="0" applyFont="1" applyFill="1" applyBorder="1"/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1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zoomScaleNormal="100" workbookViewId="0">
      <selection activeCell="L16" sqref="L16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03" t="s">
        <v>36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5"/>
      <c r="M1" s="38" t="s">
        <v>70</v>
      </c>
      <c r="N1" s="39" t="s">
        <v>64</v>
      </c>
      <c r="O1" s="194" t="s">
        <v>69</v>
      </c>
      <c r="P1" s="195"/>
      <c r="Q1" s="195"/>
      <c r="R1" s="195"/>
      <c r="S1" s="196"/>
    </row>
    <row r="2" spans="1:19" ht="18.75" thickBot="1">
      <c r="A2" s="17" t="s">
        <v>96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0"/>
      <c r="O2" s="197"/>
      <c r="P2" s="198"/>
      <c r="Q2" s="198"/>
      <c r="R2" s="198"/>
      <c r="S2" s="199"/>
    </row>
    <row r="3" spans="1:19">
      <c r="A3" s="20" t="s">
        <v>49</v>
      </c>
      <c r="B3" s="209"/>
      <c r="C3" s="210"/>
      <c r="D3" s="211"/>
      <c r="H3" s="20" t="s">
        <v>59</v>
      </c>
      <c r="I3" s="216"/>
      <c r="J3" s="217"/>
      <c r="K3" s="218"/>
      <c r="M3" s="27">
        <v>2</v>
      </c>
      <c r="N3" s="73"/>
      <c r="O3" s="206"/>
      <c r="P3" s="207"/>
      <c r="Q3" s="207"/>
      <c r="R3" s="207"/>
      <c r="S3" s="208"/>
    </row>
    <row r="4" spans="1:19">
      <c r="A4" s="21" t="s">
        <v>47</v>
      </c>
      <c r="B4" s="188"/>
      <c r="C4" s="189"/>
      <c r="D4" s="190"/>
      <c r="H4" s="21" t="s">
        <v>60</v>
      </c>
      <c r="I4" s="191"/>
      <c r="J4" s="192"/>
      <c r="K4" s="193"/>
      <c r="M4" s="27">
        <v>3</v>
      </c>
      <c r="N4" s="73"/>
      <c r="O4" s="206"/>
      <c r="P4" s="207"/>
      <c r="Q4" s="207"/>
      <c r="R4" s="207"/>
      <c r="S4" s="208"/>
    </row>
    <row r="5" spans="1:19">
      <c r="A5" s="21" t="s">
        <v>48</v>
      </c>
      <c r="B5" s="212"/>
      <c r="C5" s="213"/>
      <c r="D5" s="214"/>
      <c r="H5" s="21" t="s">
        <v>61</v>
      </c>
      <c r="I5" s="215"/>
      <c r="J5" s="207"/>
      <c r="K5" s="208"/>
      <c r="M5" s="27">
        <v>4</v>
      </c>
      <c r="N5" s="73"/>
      <c r="O5" s="206"/>
      <c r="P5" s="207"/>
      <c r="Q5" s="207"/>
      <c r="R5" s="207"/>
      <c r="S5" s="208"/>
    </row>
    <row r="6" spans="1:19" ht="15.75" thickBot="1">
      <c r="A6" s="22" t="s">
        <v>7</v>
      </c>
      <c r="B6" s="223"/>
      <c r="C6" s="224"/>
      <c r="D6" s="225"/>
      <c r="H6" s="22" t="s">
        <v>62</v>
      </c>
      <c r="I6" s="226"/>
      <c r="J6" s="201"/>
      <c r="K6" s="202"/>
      <c r="M6" s="28">
        <v>5</v>
      </c>
      <c r="N6" s="74"/>
      <c r="O6" s="200"/>
      <c r="P6" s="201"/>
      <c r="Q6" s="201"/>
      <c r="R6" s="201"/>
      <c r="S6" s="202"/>
    </row>
    <row r="7" spans="1:19" s="50" customFormat="1" ht="2.1" hidden="1" customHeight="1" thickBot="1"/>
    <row r="8" spans="1:19" ht="15.75" customHeight="1" thickBot="1">
      <c r="A8" s="227" t="s">
        <v>1</v>
      </c>
      <c r="B8" s="228"/>
      <c r="C8" s="228"/>
      <c r="D8" s="229"/>
      <c r="F8" s="233" t="s">
        <v>73</v>
      </c>
      <c r="G8" s="234"/>
      <c r="H8" s="234"/>
      <c r="I8" s="234"/>
      <c r="J8" s="234"/>
      <c r="K8" s="234"/>
      <c r="L8" s="234"/>
      <c r="M8" s="234"/>
      <c r="N8" s="234"/>
      <c r="O8" s="234"/>
      <c r="P8" s="234"/>
      <c r="Q8" s="234"/>
      <c r="R8" s="234"/>
      <c r="S8" s="239"/>
    </row>
    <row r="9" spans="1:19" ht="15.75" thickBot="1">
      <c r="A9" s="230"/>
      <c r="B9" s="231"/>
      <c r="C9" s="231"/>
      <c r="D9" s="232"/>
      <c r="F9" s="170" t="s">
        <v>28</v>
      </c>
      <c r="G9" s="171"/>
      <c r="H9" s="186" t="s">
        <v>29</v>
      </c>
      <c r="I9" s="187"/>
      <c r="J9" s="168" t="s">
        <v>16</v>
      </c>
      <c r="K9" s="169"/>
      <c r="L9" s="240" t="s">
        <v>19</v>
      </c>
      <c r="M9" s="241"/>
      <c r="N9" s="237" t="s">
        <v>80</v>
      </c>
      <c r="O9" s="238"/>
      <c r="P9" s="235" t="s">
        <v>68</v>
      </c>
      <c r="Q9" s="236"/>
      <c r="R9" s="237" t="s">
        <v>18</v>
      </c>
      <c r="S9" s="238"/>
    </row>
    <row r="10" spans="1:19" ht="15.75" thickBot="1">
      <c r="A10" s="175" t="s">
        <v>9</v>
      </c>
      <c r="B10" s="23" t="s">
        <v>63</v>
      </c>
      <c r="C10" s="23" t="s">
        <v>71</v>
      </c>
      <c r="D10" s="23" t="s">
        <v>51</v>
      </c>
      <c r="E10" s="2"/>
      <c r="F10" s="145" t="s">
        <v>63</v>
      </c>
      <c r="G10" s="145" t="s">
        <v>71</v>
      </c>
      <c r="H10" s="146" t="s">
        <v>63</v>
      </c>
      <c r="I10" s="146" t="s">
        <v>71</v>
      </c>
      <c r="J10" s="147" t="s">
        <v>63</v>
      </c>
      <c r="K10" s="147" t="s">
        <v>71</v>
      </c>
      <c r="L10" s="148" t="s">
        <v>63</v>
      </c>
      <c r="M10" s="148" t="s">
        <v>71</v>
      </c>
      <c r="N10" s="32" t="s">
        <v>63</v>
      </c>
      <c r="O10" s="32" t="s">
        <v>71</v>
      </c>
      <c r="P10" s="32" t="s">
        <v>63</v>
      </c>
      <c r="Q10" s="149" t="s">
        <v>71</v>
      </c>
      <c r="R10" s="32" t="s">
        <v>63</v>
      </c>
      <c r="S10" s="32" t="s">
        <v>71</v>
      </c>
    </row>
    <row r="11" spans="1:19">
      <c r="A11" s="176"/>
      <c r="B11" s="56" t="str">
        <f>IFERROR(INDEX(Deco!$Y$2:$Y$99,_xlfn.AGGREGATE(15,6,ROW(Deco!$Y$2:$Y$99)-ROW(Deco!$Y$2)+1/(Deco!$W$2:$W$99="PAL"),1)),"")</f>
        <v/>
      </c>
      <c r="C11" s="58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2" t="str" cm="1">
        <f t="array" ref="F11">IFERROR(INDEX(Cant!$M$2:$M$99,_xlfn.AGGREGATE(15,6,(ROW(Cant!$M$2:$M$99)-ROW(Cant!$M$2)+1)/((Cant!$M$2:$M$99&lt;&gt;"")*(COUNTIF($F$10:F10,Cant!$M$2:$M$99)=0)),1)),"")</f>
        <v/>
      </c>
      <c r="G11" s="83" t="str">
        <f>IFERROR(IF(AND(F11&lt;&gt;"",SUMIFS(Cant!$I$2:$I$99,Cant!$M$2:$M$99,F11,Cant!$J$2:$J$99,"22/0.4")+SUMIFS(Cant!$I$2:$I$99,Cant!$M$2:$M$99,F11,Cant!$J$2:$J$99,"22/0.5")&gt;0),
    SUMIFS(Cant!$I$2:$I$99,Cant!$M$2:$M$99,F11,Cant!$J$2:$J$99,"22/0.4")
    +SUMIFS(Cant!$I$2:$I$99,Cant!$M$2:$M$99,F11,Cant!$J$2:$J$99,"22/0.5"),
  ""),
"")</f>
        <v/>
      </c>
      <c r="H11" s="84" t="str">
        <f>CONCATENATE(F11)</f>
        <v/>
      </c>
      <c r="I11" s="87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89" t="str">
        <f>CONCATENATE(F11)</f>
        <v/>
      </c>
      <c r="K11" s="92" t="str">
        <f>IFERROR(IF(AND(J11&lt;&gt;"",SUMIFS(Cant!$I$2:$I$99,Cant!$M$2:$M$99,J11,Cant!$J$2:$J$99,"23/0.8")&gt;0),SUMIFS(Cant!$I$2:$I$99,Cant!$M$2:$M$99,J11,Cant!$J$2:$J$99,"23/0.8"),""),"")</f>
        <v/>
      </c>
      <c r="L11" s="94" t="str">
        <f>CONCATENATE(F11)</f>
        <v/>
      </c>
      <c r="M11" s="97" t="str">
        <f>IFERROR(IF(AND(L11&lt;&gt;"",SUMIFS(Cant!$I$2:$I$99,Cant!$M$2:$M$99,L11,Cant!$J$2:$J$99,"23/2.0")&gt;0),SUMIFS(Cant!$I$2:$I$99,Cant!$M$2:$M$99,L11,Cant!$J$2:$J$99,"23/2.0"),""),"")</f>
        <v/>
      </c>
      <c r="N11" s="56" t="str">
        <f>CONCATENATE(F11)</f>
        <v/>
      </c>
      <c r="O11" s="29" t="str">
        <f>IFERROR(IF(AND(N11&lt;&gt;"",SUMIFS(Cant!$I$2:$I$99,Cant!$M$2:$M$99,N11,Cant!$J$2:$J$99,"43/1.0")+SUMIFS(Cant!$I$2:$I$99,Cant!$M$2:$M$99,F11,Cant!$J$2:$J$99,"43/0.8")+SUMIFS(Cant!$I$2:$I$99,Cant!$M$2:$M$99,F11,Cant!$J$2:$J$99,"42/1.0")&gt;0),SUMIFS(Cant!$I$2:$I$99,Cant!$M$2:$M$99,N11,Cant!$J$2:$J$99,"43/1.0")+SUMIFS(Cant!$I$2:$I$99,Cant!$M$2:$M$99,N11,Cant!$J$2:$J$99,"43/0.8")++SUMIFS(Cant!$I$2:$I$99,Cant!$M$2:$M$99,F11,Cant!$J$2:$J$99,"42/1.0"),""),"")</f>
        <v/>
      </c>
      <c r="P11" s="56" t="str">
        <f>CONCATENATE(F11)</f>
        <v/>
      </c>
      <c r="Q11" s="29" t="str">
        <f>IFERROR(IF(AND(P11&lt;&gt;"",SUMIFS(Cant!$I$2:$I$99,Cant!$M$2:$M$99,P11,Cant!$J$2:$J$99,"43/1.5")+SUMIFS(Cant!$I$2:$I$99,Cant!$M$2:$M$99,P11,Cant!$J$2:$J$99,"24/1.5")&gt;0),SUMIFS(Cant!$I$2:$I$99,Cant!$M$2:$M$99,P11,Cant!$J$2:$J$99,"43/1.5")+SUMIFS(Cant!$I$2:$I$99,Cant!$M$2:$M$99,P11,Cant!$J$2:$J$99,"24/1.5"),""),"")</f>
        <v/>
      </c>
      <c r="R11" s="56" t="str">
        <f>CONCATENATE(F11)</f>
        <v/>
      </c>
      <c r="S11" s="29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176"/>
      <c r="B12" s="108" t="str" cm="1">
        <f t="array" ref="B12">IFERROR(_xlfn.SINGLE(INDEX(Deco!$Y$2:$Y$99,_xlfn.AGGREGATE(15,6,ROW(Deco!$Y$2:$Y$99)-ROW(Deco!$Y$2)+1/(Deco!$W$2:$W$99="PAL"),2))),"")</f>
        <v/>
      </c>
      <c r="C12" s="109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150" t="str" cm="1">
        <f t="array" ref="F12">IFERROR(INDEX(Cant!$M$2:$M$99,_xlfn.AGGREGATE(15,6,(ROW(Cant!$M$2:$M$99)-ROW(Cant!$M$2)+1)/((Cant!$M$2:$M$99&lt;&gt;"")*(COUNTIF($F$10:F11,Cant!$M$2:$M$99)=0)),1)),"")</f>
        <v/>
      </c>
      <c r="G12" s="81" t="str">
        <f>IF(AND(F12&lt;&gt;"",COUNTIF($F$11:F11,F12)&gt;0),"",IFERROR(IF(AND(F12&lt;&gt;"",SUMIFS(Cant!$I$2:$I$99,Cant!$M$2:$M$99,F12,Cant!$J$2:$J$99,"22/0.4") +SUMIFS(Cant!$I$2:$I$99,Cant!$M$2:$M$99,F12,Cant!$J$2:$J$99,"22/0.5")&gt;0),
      SUMIFS(Cant!$I$2:$I$99,Cant!$M$2:$M$99,F12,Cant!$J$2:$J$99,"22/0.4")
      +SUMIFS(Cant!$I$2:$I$99,Cant!$M$2:$M$99,F12,Cant!$J$2:$J$99,"22/0.5"),
    ""),
  "")
)</f>
        <v/>
      </c>
      <c r="H12" s="85" t="str">
        <f>CONCATENATE(F12)</f>
        <v/>
      </c>
      <c r="I12" s="8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90" t="str">
        <f>CONCATENATE(F12)</f>
        <v/>
      </c>
      <c r="K12" s="91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95" t="str">
        <f>CONCATENATE(F12)</f>
        <v/>
      </c>
      <c r="M12" s="96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67" t="str">
        <f>CONCATENATE(F12)</f>
        <v/>
      </c>
      <c r="O12" s="30" t="str">
        <f>IF(AND(F12&lt;&gt;"",COUNTIF($F$11:F11,F12)&gt;0),"",IFERROR(IF(AND(N12&lt;&gt;"",SUMIFS(Cant!$I$2:$I$99,Cant!$M$2:$M$99,N12,Cant!$J$2:$J$99,"43/1.0")+SUMIFS(Cant!$I$2:$I$99,Cant!$M$2:$M$99,N12,Cant!$J$2:$J$99,"43/0.8")+SUMIFS(Cant!$I$2:$I$99,Cant!$M$2:$M$99,N12,Cant!$J$2:$J$99,"42/1.0")&gt;0),SUMIFS(Cant!$I$2:$I$99,Cant!$M$2:$M$99,N12,Cant!$J$2:$J$99,"43/1.0")+SUMIFS(Cant!$I$2:$I$99,Cant!$M$2:$M$99,N12,Cant!$J$2:$J$99,"43/0.8")+SUMIFS(Cant!$I$2:$I$99,Cant!$M$2:$M$99,N12,Cant!$J$2:$J$99,"42/1.0"),""),""))</f>
        <v/>
      </c>
      <c r="P12" s="67" t="str">
        <f>CONCATENATE(F12)</f>
        <v/>
      </c>
      <c r="Q12" s="30" t="str">
        <f>IF(AND(F12&lt;&gt;"",COUNTIF($F$11:F11,F12)&gt;0),"",IFERROR(IF(AND(P12&lt;&gt;"",SUMIFS(Cant!$I$2:$I$99,Cant!$M$2:$M$99,P12,Cant!$J$2:$J$99,"43/1.5")+SUMIFS(Cant!$I$2:$I$99,Cant!$M$2:$M$99,P12,Cant!$J$2:$J$99,"24/1.5")&gt;0),SUMIFS(Cant!$I$2:$I$99,Cant!$M$2:$M$99,P12,Cant!$J$2:$J$99,"43/1.5")+SUMIFS(Cant!$I$2:$I$99,Cant!$M$2:$M$99,P12,Cant!$J$2:$J$99,"24/1.5"),""),""))</f>
        <v/>
      </c>
      <c r="R12" s="67" t="str">
        <f>CONCATENATE(F12)</f>
        <v/>
      </c>
      <c r="S12" s="30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176"/>
      <c r="B13" s="108" t="str" cm="1">
        <f t="array" ref="B13">IFERROR(_xlfn.SINGLE(INDEX(Deco!$Y$2:$Y$99,_xlfn.AGGREGATE(15,6,ROW(Deco!$Y$2:$Y$99)-ROW(Deco!$Y$2)+1/(Deco!$W$2:$W$99="PAL"),3))),"")</f>
        <v/>
      </c>
      <c r="C13" s="109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150" t="str" cm="1">
        <f t="array" ref="F13">IFERROR(INDEX(Cant!$M$2:$M$99,_xlfn.AGGREGATE(15,6,(ROW(Cant!$M$2:$M$99)-ROW(Cant!$M$2)+1)/((Cant!$M$2:$M$99&lt;&gt;"")*(COUNTIF($F$10:F12,Cant!$M$2:$M$99)=0)),1)),"")</f>
        <v/>
      </c>
      <c r="G13" s="81" t="str">
        <f>IF(AND(F13&lt;&gt;"",COUNTIF($F$11:F12,F13)&gt;0),"",
  IFERROR(
    IF(AND(F13&lt;&gt;"",
      SUMIFS(Cant!$I$2:$I$99,Cant!$M$2:$M$99,F13,Cant!$J$2:$J$99,"22/0.4")
      +SUMIFS(Cant!$I$2:$I$99,Cant!$M$2:$M$99,F13,Cant!$J$2:$J$99,"22/0.5")&gt;0),
      SUMIFS(Cant!$I$2:$I$99,Cant!$M$2:$M$99,F13,Cant!$J$2:$J$99,"22/0.4")
      +SUMIFS(Cant!$I$2:$I$99,Cant!$M$2:$M$99,F13,Cant!$J$2:$J$99,"22/0.5"),
    ""),
  "")
)</f>
        <v/>
      </c>
      <c r="H13" s="85" t="str">
        <f t="shared" ref="H13:H38" si="0">CONCATENATE(F13)</f>
        <v/>
      </c>
      <c r="I13" s="8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90" t="str">
        <f t="shared" ref="J13:J38" si="1">CONCATENATE(F13)</f>
        <v/>
      </c>
      <c r="K13" s="91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95" t="str">
        <f t="shared" ref="L13:L38" si="2">CONCATENATE(F13)</f>
        <v/>
      </c>
      <c r="M13" s="96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67" t="str">
        <f t="shared" ref="N13:N38" si="3">CONCATENATE(F13)</f>
        <v/>
      </c>
      <c r="O13" s="30" t="str">
        <f>IF(AND(F13&lt;&gt;"",COUNTIF($F$11:F12,F13)&gt;0),"",IFERROR(IF(AND(N13&lt;&gt;"",SUMIFS(Cant!$I$2:$I$99,Cant!$M$2:$M$99,N13,Cant!$J$2:$J$99,"43/1.0")+SUMIFS(Cant!$I$2:$I$99,Cant!$M$2:$M$99,N13,Cant!$J$2:$J$99,"43/0.8")+SUMIFS(Cant!$I$2:$I$99,Cant!$M$2:$M$99,N13,Cant!$J$2:$J$99,"42/1.0")&gt;0),SUMIFS(Cant!$I$2:$I$99,Cant!$M$2:$M$99,N13,Cant!$J$2:$J$99,"43/1.0")+SUMIFS(Cant!$I$2:$I$99,Cant!$M$2:$M$99,N13,Cant!$J$2:$J$99,"43/0.8")+SUMIFS(Cant!$I$2:$I$99,Cant!$M$2:$M$99,N13,Cant!$J$2:$J$99,"42/1.0"),""),""))</f>
        <v/>
      </c>
      <c r="P13" s="67" t="str">
        <f t="shared" ref="P13:P38" si="4">CONCATENATE(F13)</f>
        <v/>
      </c>
      <c r="Q13" s="30" t="str">
        <f>IF(AND(F13&lt;&gt;"",COUNTIF($F$11:F12,F13)&gt;0),"",IFERROR(IF(AND(P13&lt;&gt;"",SUMIFS(Cant!$I$2:$I$99,Cant!$M$2:$M$99,P13,Cant!$J$2:$J$99,"43/1.5")+SUMIFS(Cant!$I$2:$I$99,Cant!$M$2:$M$99,P13,Cant!$J$2:$J$99,"24/1.5")&gt;0),SUMIFS(Cant!$I$2:$I$99,Cant!$M$2:$M$99,P13,Cant!$J$2:$J$99,"43/1.5")+SUMIFS(Cant!$I$2:$I$99,Cant!$M$2:$M$99,P13,Cant!$J$2:$J$99,"24/1.5"),""),""))</f>
        <v/>
      </c>
      <c r="R13" s="67" t="str">
        <f t="shared" ref="R13:R38" si="5">CONCATENATE(F13)</f>
        <v/>
      </c>
      <c r="S13" s="30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176"/>
      <c r="B14" s="108" t="str" cm="1">
        <f t="array" ref="B14">IFERROR(_xlfn.SINGLE(INDEX(Deco!$Y$2:$Y$99,_xlfn.AGGREGATE(15,6,ROW(Deco!$Y$2:$Y$99)-ROW(Deco!$Y$2)+1/(Deco!$W$2:$W$99="PAL"),4))),"")</f>
        <v/>
      </c>
      <c r="C14" s="109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150" t="str" cm="1">
        <f t="array" ref="F14">IFERROR(INDEX(Cant!$M$2:$M$99,_xlfn.AGGREGATE(15,6,(ROW(Cant!$M$2:$M$99)-ROW(Cant!$M$2)+1)/((Cant!$M$2:$M$99&lt;&gt;"")*(COUNTIF($F$10:F13,Cant!$M$2:$M$99)=0)),1)),"")</f>
        <v/>
      </c>
      <c r="G14" s="81" t="str">
        <f>IF(AND(F14&lt;&gt;"",COUNTIF($F$11:F13,F14)&gt;0),"",
  IFERROR(
    IF(AND(F14&lt;&gt;"",
      SUMIFS(Cant!$I$2:$I$99,Cant!$M$2:$M$99,F14,Cant!$J$2:$J$99,"22/0.4")
      +SUMIFS(Cant!$I$2:$I$99,Cant!$M$2:$M$99,F14,Cant!$J$2:$J$99,"22/0.5")&gt;0),
      SUMIFS(Cant!$I$2:$I$99,Cant!$M$2:$M$99,F14,Cant!$J$2:$J$99,"22/0.4")
      +SUMIFS(Cant!$I$2:$I$99,Cant!$M$2:$M$99,F14,Cant!$J$2:$J$99,"22/0.5"),
    ""),
  "")
)</f>
        <v/>
      </c>
      <c r="H14" s="85" t="str">
        <f t="shared" si="0"/>
        <v/>
      </c>
      <c r="I14" s="8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90" t="str">
        <f t="shared" si="1"/>
        <v/>
      </c>
      <c r="K14" s="91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95" t="str">
        <f t="shared" si="2"/>
        <v/>
      </c>
      <c r="M14" s="96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67" t="str">
        <f t="shared" si="3"/>
        <v/>
      </c>
      <c r="O14" s="30" t="str">
        <f>IF(AND(F14&lt;&gt;"",COUNTIF($F$11:F13,F14)&gt;0),"",IFERROR(IF(AND(N14&lt;&gt;"",SUMIFS(Cant!$I$2:$I$99,Cant!$M$2:$M$99,N14,Cant!$J$2:$J$99,"43/1.0")+SUMIFS(Cant!$I$2:$I$99,Cant!$M$2:$M$99,N14,Cant!$J$2:$J$99,"43/0.8")+SUMIFS(Cant!$I$2:$I$99,Cant!$M$2:$M$99,N14,Cant!$J$2:$J$99,"42/1.0")&gt;0),SUMIFS(Cant!$I$2:$I$99,Cant!$M$2:$M$99,N14,Cant!$J$2:$J$99,"43/1.0")+SUMIFS(Cant!$I$2:$I$99,Cant!$M$2:$M$99,N14,Cant!$J$2:$J$99,"43/0.8")+SUMIFS(Cant!$I$2:$I$99,Cant!$M$2:$M$99,N14,Cant!$J$2:$J$99,"42/1.0"),""),""))</f>
        <v/>
      </c>
      <c r="P14" s="67" t="str">
        <f t="shared" si="4"/>
        <v/>
      </c>
      <c r="Q14" s="30" t="str">
        <f>IF(AND(F14&lt;&gt;"",COUNTIF($F$11:F13,F14)&gt;0),"",IFERROR(IF(AND(P14&lt;&gt;"",SUMIFS(Cant!$I$2:$I$99,Cant!$M$2:$M$99,P14,Cant!$J$2:$J$99,"43/1.5")+SUMIFS(Cant!$I$2:$I$99,Cant!$M$2:$M$99,P14,Cant!$J$2:$J$99,"24/1.5")&gt;0),SUMIFS(Cant!$I$2:$I$99,Cant!$M$2:$M$99,P14,Cant!$J$2:$J$99,"43/1.5")+SUMIFS(Cant!$I$2:$I$99,Cant!$M$2:$M$99,P14,Cant!$J$2:$J$99,"24/1.5"),""),""))</f>
        <v/>
      </c>
      <c r="R14" s="67" t="str">
        <f t="shared" si="5"/>
        <v/>
      </c>
      <c r="S14" s="30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176"/>
      <c r="B15" s="108" t="str" cm="1">
        <f t="array" ref="B15">IFERROR(_xlfn.SINGLE(INDEX(Deco!$Y$2:$Y$99,_xlfn.AGGREGATE(15,6,ROW(Deco!$Y$2:$Y$99)-ROW(Deco!$Y$2)+1/(Deco!$W$2:$W$99="PAL"),5))),"")</f>
        <v/>
      </c>
      <c r="C15" s="110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150" t="str" cm="1">
        <f t="array" ref="F15">IFERROR(INDEX(Cant!$M$2:$M$99,_xlfn.AGGREGATE(15,6,(ROW(Cant!$M$2:$M$99)-ROW(Cant!$M$2)+1)/((Cant!$M$2:$M$99&lt;&gt;"")*(COUNTIF($F$10:F14,Cant!$M$2:$M$99)=0)),1)),"")</f>
        <v/>
      </c>
      <c r="G15" s="81" t="str">
        <f>IF(AND(F15&lt;&gt;"",COUNTIF($F$11:F14,F15)&gt;0),"",
  IFERROR(
    IF(AND(F15&lt;&gt;"",
      SUMIFS(Cant!$I$2:$I$99,Cant!$M$2:$M$99,F15,Cant!$J$2:$J$99,"22/0.4")
      +SUMIFS(Cant!$I$2:$I$99,Cant!$M$2:$M$99,F15,Cant!$J$2:$J$99,"22/0.5")&gt;0),
      SUMIFS(Cant!$I$2:$I$99,Cant!$M$2:$M$99,F15,Cant!$J$2:$J$99,"22/0.4")
      +SUMIFS(Cant!$I$2:$I$99,Cant!$M$2:$M$99,F15,Cant!$J$2:$J$99,"22/0.5"),
    ""),
  "")
)</f>
        <v/>
      </c>
      <c r="H15" s="85" t="str">
        <f t="shared" si="0"/>
        <v/>
      </c>
      <c r="I15" s="8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90" t="str">
        <f t="shared" si="1"/>
        <v/>
      </c>
      <c r="K15" s="91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95" t="str">
        <f t="shared" si="2"/>
        <v/>
      </c>
      <c r="M15" s="96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67" t="str">
        <f t="shared" si="3"/>
        <v/>
      </c>
      <c r="O15" s="30" t="str">
        <f>IF(AND(F15&lt;&gt;"",COUNTIF($F$11:F14,F15)&gt;0),"",IFERROR(IF(AND(N15&lt;&gt;"",SUMIFS(Cant!$I$2:$I$99,Cant!$M$2:$M$99,N15,Cant!$J$2:$J$99,"43/1.0")+SUMIFS(Cant!$I$2:$I$99,Cant!$M$2:$M$99,N15,Cant!$J$2:$J$99,"43/0.8")+SUMIFS(Cant!$I$2:$I$99,Cant!$M$2:$M$99,N15,Cant!$J$2:$J$99,"42/1.0")&gt;0),SUMIFS(Cant!$I$2:$I$99,Cant!$M$2:$M$99,N15,Cant!$J$2:$J$99,"43/1.0")+SUMIFS(Cant!$I$2:$I$99,Cant!$M$2:$M$99,N15,Cant!$J$2:$J$99,"43/0.8")+SUMIFS(Cant!$I$2:$I$99,Cant!$M$2:$M$99,N15,Cant!$J$2:$J$99,"42/1.0"),""),""))</f>
        <v/>
      </c>
      <c r="P15" s="67" t="str">
        <f t="shared" si="4"/>
        <v/>
      </c>
      <c r="Q15" s="30" t="str">
        <f>IF(AND(F15&lt;&gt;"",COUNTIF($F$11:F14,F15)&gt;0),"",IFERROR(IF(AND(P15&lt;&gt;"",SUMIFS(Cant!$I$2:$I$99,Cant!$M$2:$M$99,P15,Cant!$J$2:$J$99,"43/1.5")+SUMIFS(Cant!$I$2:$I$99,Cant!$M$2:$M$99,P15,Cant!$J$2:$J$99,"24/1.5")&gt;0),SUMIFS(Cant!$I$2:$I$99,Cant!$M$2:$M$99,P15,Cant!$J$2:$J$99,"43/1.5")+SUMIFS(Cant!$I$2:$I$99,Cant!$M$2:$M$99,P15,Cant!$J$2:$J$99,"24/1.5"),""),""))</f>
        <v/>
      </c>
      <c r="R15" s="67" t="str">
        <f t="shared" si="5"/>
        <v/>
      </c>
      <c r="S15" s="30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176"/>
      <c r="B16" s="108" t="str" cm="1">
        <f t="array" ref="B16">IFERROR(_xlfn.SINGLE(INDEX(Deco!$Y$2:$Y$99,_xlfn.AGGREGATE(15,6,ROW(Deco!$Y$2:$Y$99)-ROW(Deco!$Y$2)+1/(Deco!$W$2:$W$99="PAL"),6))),"")</f>
        <v/>
      </c>
      <c r="C16" s="109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150" t="str" cm="1">
        <f t="array" ref="F16">IFERROR(INDEX(Cant!$M$2:$M$99,_xlfn.AGGREGATE(15,6,(ROW(Cant!$M$2:$M$99)-ROW(Cant!$M$2)+1)/((Cant!$M$2:$M$99&lt;&gt;"")*(COUNTIF($F$10:F15,Cant!$M$2:$M$99)=0)),1)),"")</f>
        <v/>
      </c>
      <c r="G16" s="81" t="str">
        <f>IF(AND(F16&lt;&gt;"",COUNTIF($F$11:F15,F16)&gt;0),"",
  IFERROR(
    IF(AND(F16&lt;&gt;"",
      SUMIFS(Cant!$I$2:$I$99,Cant!$M$2:$M$99,F16,Cant!$J$2:$J$99,"22/0.4")
      +SUMIFS(Cant!$I$2:$I$99,Cant!$M$2:$M$99,F16,Cant!$J$2:$J$99,"22/0.5")&gt;0),
      SUMIFS(Cant!$I$2:$I$99,Cant!$M$2:$M$99,F16,Cant!$J$2:$J$99,"22/0.4")
      +SUMIFS(Cant!$I$2:$I$99,Cant!$M$2:$M$99,F16,Cant!$J$2:$J$99,"22/0.5"),
    ""),
  "")
)</f>
        <v/>
      </c>
      <c r="H16" s="85" t="str">
        <f t="shared" si="0"/>
        <v/>
      </c>
      <c r="I16" s="8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90" t="str">
        <f t="shared" si="1"/>
        <v/>
      </c>
      <c r="K16" s="91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95" t="str">
        <f t="shared" si="2"/>
        <v/>
      </c>
      <c r="M16" s="96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67" t="str">
        <f t="shared" si="3"/>
        <v/>
      </c>
      <c r="O16" s="30" t="str">
        <f>IF(AND(F16&lt;&gt;"",COUNTIF($F$11:F15,F16)&gt;0),"",IFERROR(IF(AND(N16&lt;&gt;"",SUMIFS(Cant!$I$2:$I$99,Cant!$M$2:$M$99,N16,Cant!$J$2:$J$99,"43/1.0")+SUMIFS(Cant!$I$2:$I$99,Cant!$M$2:$M$99,N16,Cant!$J$2:$J$99,"43/0.8")+SUMIFS(Cant!$I$2:$I$99,Cant!$M$2:$M$99,N16,Cant!$J$2:$J$99,"42/1.0")&gt;0),SUMIFS(Cant!$I$2:$I$99,Cant!$M$2:$M$99,N16,Cant!$J$2:$J$99,"43/1.0")+SUMIFS(Cant!$I$2:$I$99,Cant!$M$2:$M$99,N16,Cant!$J$2:$J$99,"43/0.8")+SUMIFS(Cant!$I$2:$I$99,Cant!$M$2:$M$99,N16,Cant!$J$2:$J$99,"42/1.0"),""),""))</f>
        <v/>
      </c>
      <c r="P16" s="67" t="str">
        <f t="shared" si="4"/>
        <v/>
      </c>
      <c r="Q16" s="30" t="str">
        <f>IF(AND(F16&lt;&gt;"",COUNTIF($F$11:F15,F16)&gt;0),"",IFERROR(IF(AND(P16&lt;&gt;"",SUMIFS(Cant!$I$2:$I$99,Cant!$M$2:$M$99,P16,Cant!$J$2:$J$99,"43/1.5")+SUMIFS(Cant!$I$2:$I$99,Cant!$M$2:$M$99,P16,Cant!$J$2:$J$99,"24/1.5")&gt;0),SUMIFS(Cant!$I$2:$I$99,Cant!$M$2:$M$99,P16,Cant!$J$2:$J$99,"43/1.5")+SUMIFS(Cant!$I$2:$I$99,Cant!$M$2:$M$99,P16,Cant!$J$2:$J$99,"24/1.5"),""),""))</f>
        <v/>
      </c>
      <c r="R16" s="67" t="str">
        <f t="shared" si="5"/>
        <v/>
      </c>
      <c r="S16" s="30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176"/>
      <c r="B17" s="108" t="str" cm="1">
        <f t="array" ref="B17">IFERROR(_xlfn.SINGLE(INDEX(Deco!$Y$2:$Y$99,_xlfn.AGGREGATE(15,6,ROW(Deco!$Y$2:$Y$99)-ROW(Deco!$Y$2)+1/(Deco!$W$2:$W$99="PAL"),7))),"")</f>
        <v/>
      </c>
      <c r="C17" s="109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150" t="str" cm="1">
        <f t="array" ref="F17">IFERROR(INDEX(Cant!$M$2:$M$99,_xlfn.AGGREGATE(15,6,(ROW(Cant!$M$2:$M$99)-ROW(Cant!$M$2)+1)/((Cant!$M$2:$M$99&lt;&gt;"")*(COUNTIF($F$10:F16,Cant!$M$2:$M$99)=0)),1)),"")</f>
        <v/>
      </c>
      <c r="G17" s="81" t="str">
        <f>IF(AND(F17&lt;&gt;"",COUNTIF($F$11:F16,F17)&gt;0),"",
  IFERROR(
    IF(AND(F17&lt;&gt;"",
      SUMIFS(Cant!$I$2:$I$99,Cant!$M$2:$M$99,F17,Cant!$J$2:$J$99,"22/0.4")
      +SUMIFS(Cant!$I$2:$I$99,Cant!$M$2:$M$99,F17,Cant!$J$2:$J$99,"22/0.5")&gt;0),
      SUMIFS(Cant!$I$2:$I$99,Cant!$M$2:$M$99,F17,Cant!$J$2:$J$99,"22/0.4")
      +SUMIFS(Cant!$I$2:$I$99,Cant!$M$2:$M$99,F17,Cant!$J$2:$J$99,"22/0.5"),
    ""),
  "")
)</f>
        <v/>
      </c>
      <c r="H17" s="85" t="str">
        <f t="shared" si="0"/>
        <v/>
      </c>
      <c r="I17" s="8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90" t="str">
        <f t="shared" si="1"/>
        <v/>
      </c>
      <c r="K17" s="91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95" t="str">
        <f t="shared" si="2"/>
        <v/>
      </c>
      <c r="M17" s="96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67" t="str">
        <f t="shared" si="3"/>
        <v/>
      </c>
      <c r="O17" s="30" t="str">
        <f>IF(AND(F17&lt;&gt;"",COUNTIF($F$11:F16,F17)&gt;0),"",IFERROR(IF(AND(N17&lt;&gt;"",SUMIFS(Cant!$I$2:$I$99,Cant!$M$2:$M$99,N17,Cant!$J$2:$J$99,"43/1.0")+SUMIFS(Cant!$I$2:$I$99,Cant!$M$2:$M$99,N17,Cant!$J$2:$J$99,"43/0.8")+SUMIFS(Cant!$I$2:$I$99,Cant!$M$2:$M$99,N17,Cant!$J$2:$J$99,"42/1.0")&gt;0),SUMIFS(Cant!$I$2:$I$99,Cant!$M$2:$M$99,N17,Cant!$J$2:$J$99,"43/1.0")+SUMIFS(Cant!$I$2:$I$99,Cant!$M$2:$M$99,N17,Cant!$J$2:$J$99,"43/0.8")+SUMIFS(Cant!$I$2:$I$99,Cant!$M$2:$M$99,N17,Cant!$J$2:$J$99,"42/1.0"),""),""))</f>
        <v/>
      </c>
      <c r="P17" s="67" t="str">
        <f t="shared" si="4"/>
        <v/>
      </c>
      <c r="Q17" s="30" t="str">
        <f>IF(AND(F17&lt;&gt;"",COUNTIF($F$11:F16,F17)&gt;0),"",IFERROR(IF(AND(P17&lt;&gt;"",SUMIFS(Cant!$I$2:$I$99,Cant!$M$2:$M$99,P17,Cant!$J$2:$J$99,"43/1.5")+SUMIFS(Cant!$I$2:$I$99,Cant!$M$2:$M$99,P17,Cant!$J$2:$J$99,"24/1.5")&gt;0),SUMIFS(Cant!$I$2:$I$99,Cant!$M$2:$M$99,P17,Cant!$J$2:$J$99,"43/1.5")+SUMIFS(Cant!$I$2:$I$99,Cant!$M$2:$M$99,P17,Cant!$J$2:$J$99,"24/1.5"),""),""))</f>
        <v/>
      </c>
      <c r="R17" s="67" t="str">
        <f t="shared" si="5"/>
        <v/>
      </c>
      <c r="S17" s="30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176"/>
      <c r="B18" s="108" t="str" cm="1">
        <f t="array" ref="B18">IFERROR(_xlfn.SINGLE(INDEX(Deco!$Y$2:$Y$99,_xlfn.AGGREGATE(15,6,ROW(Deco!$Y$2:$Y$99)-ROW(Deco!$Y$2)+1/(Deco!$W$2:$W$99="PAL"),8))),"")</f>
        <v/>
      </c>
      <c r="C18" s="109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150" t="str" cm="1">
        <f t="array" ref="F18">IFERROR(INDEX(Cant!$M$2:$M$99,_xlfn.AGGREGATE(15,6,(ROW(Cant!$M$2:$M$99)-ROW(Cant!$M$2)+1)/((Cant!$M$2:$M$99&lt;&gt;"")*(COUNTIF($F$10:F17,Cant!$M$2:$M$99)=0)),1)),"")</f>
        <v/>
      </c>
      <c r="G18" s="81" t="str">
        <f>IF(AND(F18&lt;&gt;"",COUNTIF($F$11:F17,F18)&gt;0),"",
  IFERROR(
    IF(AND(F18&lt;&gt;"",
      SUMIFS(Cant!$I$2:$I$99,Cant!$M$2:$M$99,F18,Cant!$J$2:$J$99,"22/0.4")
      +SUMIFS(Cant!$I$2:$I$99,Cant!$M$2:$M$99,F18,Cant!$J$2:$J$99,"22/0.5")&gt;0),
      SUMIFS(Cant!$I$2:$I$99,Cant!$M$2:$M$99,F18,Cant!$J$2:$J$99,"22/0.4")
      +SUMIFS(Cant!$I$2:$I$99,Cant!$M$2:$M$99,F18,Cant!$J$2:$J$99,"22/0.5"),
    ""),
  "")
)</f>
        <v/>
      </c>
      <c r="H18" s="85" t="str">
        <f t="shared" si="0"/>
        <v/>
      </c>
      <c r="I18" s="8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90" t="str">
        <f t="shared" si="1"/>
        <v/>
      </c>
      <c r="K18" s="91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95" t="str">
        <f t="shared" si="2"/>
        <v/>
      </c>
      <c r="M18" s="96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67" t="str">
        <f t="shared" si="3"/>
        <v/>
      </c>
      <c r="O18" s="30" t="str">
        <f>IF(AND(F18&lt;&gt;"",COUNTIF($F$11:F17,F18)&gt;0),"",IFERROR(IF(AND(N18&lt;&gt;"",SUMIFS(Cant!$I$2:$I$99,Cant!$M$2:$M$99,N18,Cant!$J$2:$J$99,"43/1.0")+SUMIFS(Cant!$I$2:$I$99,Cant!$M$2:$M$99,N18,Cant!$J$2:$J$99,"43/0.8")+SUMIFS(Cant!$I$2:$I$99,Cant!$M$2:$M$99,N18,Cant!$J$2:$J$99,"42/1.0")&gt;0),SUMIFS(Cant!$I$2:$I$99,Cant!$M$2:$M$99,N18,Cant!$J$2:$J$99,"43/1.0")+SUMIFS(Cant!$I$2:$I$99,Cant!$M$2:$M$99,N18,Cant!$J$2:$J$99,"43/0.8")+SUMIFS(Cant!$I$2:$I$99,Cant!$M$2:$M$99,N18,Cant!$J$2:$J$99,"42/1.0"),""),""))</f>
        <v/>
      </c>
      <c r="P18" s="67" t="str">
        <f t="shared" si="4"/>
        <v/>
      </c>
      <c r="Q18" s="30" t="str">
        <f>IF(AND(F18&lt;&gt;"",COUNTIF($F$11:F17,F18)&gt;0),"",IFERROR(IF(AND(P18&lt;&gt;"",SUMIFS(Cant!$I$2:$I$99,Cant!$M$2:$M$99,P18,Cant!$J$2:$J$99,"43/1.5")+SUMIFS(Cant!$I$2:$I$99,Cant!$M$2:$M$99,P18,Cant!$J$2:$J$99,"24/1.5")&gt;0),SUMIFS(Cant!$I$2:$I$99,Cant!$M$2:$M$99,P18,Cant!$J$2:$J$99,"43/1.5")+SUMIFS(Cant!$I$2:$I$99,Cant!$M$2:$M$99,P18,Cant!$J$2:$J$99,"24/1.5"),""),""))</f>
        <v/>
      </c>
      <c r="R18" s="67" t="str">
        <f t="shared" si="5"/>
        <v/>
      </c>
      <c r="S18" s="30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176"/>
      <c r="B19" s="108" t="str" cm="1">
        <f t="array" ref="B19">IFERROR(_xlfn.SINGLE(INDEX(Deco!$Y$2:$Y$99,_xlfn.AGGREGATE(15,6,ROW(Deco!$Y$2:$Y$99)-ROW(Deco!$Y$2)+1/(Deco!$W$2:$W$99="PAL"),9))),"")</f>
        <v/>
      </c>
      <c r="C19" s="109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150" t="str" cm="1">
        <f t="array" ref="F19">IFERROR(INDEX(Cant!$M$2:$M$99,_xlfn.AGGREGATE(15,6,(ROW(Cant!$M$2:$M$99)-ROW(Cant!$M$2)+1)/((Cant!$M$2:$M$99&lt;&gt;"")*(COUNTIF($F$10:F18,Cant!$M$2:$M$99)=0)),1)),"")</f>
        <v/>
      </c>
      <c r="G19" s="81" t="str">
        <f>IF(AND(F19&lt;&gt;"",COUNTIF($F$11:F18,F19)&gt;0),"",
  IFERROR(
    IF(AND(F19&lt;&gt;"",
      SUMIFS(Cant!$I$2:$I$99,Cant!$M$2:$M$99,F19,Cant!$J$2:$J$99,"22/0.4")
      +SUMIFS(Cant!$I$2:$I$99,Cant!$M$2:$M$99,F19,Cant!$J$2:$J$99,"22/0.5")&gt;0),
      SUMIFS(Cant!$I$2:$I$99,Cant!$M$2:$M$99,F19,Cant!$J$2:$J$99,"22/0.4")
      +SUMIFS(Cant!$I$2:$I$99,Cant!$M$2:$M$99,F19,Cant!$J$2:$J$99,"22/0.5"),
    ""),
  "")
)</f>
        <v/>
      </c>
      <c r="H19" s="85" t="str">
        <f t="shared" si="0"/>
        <v/>
      </c>
      <c r="I19" s="8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90" t="str">
        <f t="shared" si="1"/>
        <v/>
      </c>
      <c r="K19" s="91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95" t="str">
        <f t="shared" si="2"/>
        <v/>
      </c>
      <c r="M19" s="96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67" t="str">
        <f t="shared" si="3"/>
        <v/>
      </c>
      <c r="O19" s="30" t="str">
        <f>IF(AND(F19&lt;&gt;"",COUNTIF($F$11:F18,F19)&gt;0),"",IFERROR(IF(AND(N19&lt;&gt;"",SUMIFS(Cant!$I$2:$I$99,Cant!$M$2:$M$99,N19,Cant!$J$2:$J$99,"43/1.0")+SUMIFS(Cant!$I$2:$I$99,Cant!$M$2:$M$99,N19,Cant!$J$2:$J$99,"43/0.8")+SUMIFS(Cant!$I$2:$I$99,Cant!$M$2:$M$99,N19,Cant!$J$2:$J$99,"42/1.0")&gt;0),SUMIFS(Cant!$I$2:$I$99,Cant!$M$2:$M$99,N19,Cant!$J$2:$J$99,"43/1.0")+SUMIFS(Cant!$I$2:$I$99,Cant!$M$2:$M$99,N19,Cant!$J$2:$J$99,"43/0.8")+SUMIFS(Cant!$I$2:$I$99,Cant!$M$2:$M$99,N19,Cant!$J$2:$J$99,"42/1.0"),""),""))</f>
        <v/>
      </c>
      <c r="P19" s="67" t="str">
        <f t="shared" si="4"/>
        <v/>
      </c>
      <c r="Q19" s="30" t="str">
        <f>IF(AND(F19&lt;&gt;"",COUNTIF($F$11:F18,F19)&gt;0),"",IFERROR(IF(AND(P19&lt;&gt;"",SUMIFS(Cant!$I$2:$I$99,Cant!$M$2:$M$99,P19,Cant!$J$2:$J$99,"43/1.5")+SUMIFS(Cant!$I$2:$I$99,Cant!$M$2:$M$99,P19,Cant!$J$2:$J$99,"24/1.5")&gt;0),SUMIFS(Cant!$I$2:$I$99,Cant!$M$2:$M$99,P19,Cant!$J$2:$J$99,"43/1.5")+SUMIFS(Cant!$I$2:$I$99,Cant!$M$2:$M$99,P19,Cant!$J$2:$J$99,"24/1.5"),""),""))</f>
        <v/>
      </c>
      <c r="R19" s="67" t="str">
        <f t="shared" si="5"/>
        <v/>
      </c>
      <c r="S19" s="30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176"/>
      <c r="B20" s="108" t="str" cm="1">
        <f t="array" ref="B20">IFERROR(_xlfn.SINGLE(INDEX(Deco!$Y$2:$Y$99,_xlfn.AGGREGATE(15,6,ROW(Deco!$Y$2:$Y$99)-ROW(Deco!$Y$2)+1/(Deco!$W$2:$W$99="PAL"),10))),"")</f>
        <v/>
      </c>
      <c r="C20" s="109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150" t="str" cm="1">
        <f t="array" ref="F20">IFERROR(INDEX(Cant!$M$2:$M$99,_xlfn.AGGREGATE(15,6,(ROW(Cant!$M$2:$M$99)-ROW(Cant!$M$2)+1)/((Cant!$M$2:$M$99&lt;&gt;"")*(COUNTIF($F$10:F19,Cant!$M$2:$M$99)=0)),1)),"")</f>
        <v/>
      </c>
      <c r="G20" s="81" t="str">
        <f>IF(AND(F20&lt;&gt;"",COUNTIF($F$11:F19,F20)&gt;0),"",
  IFERROR(
    IF(AND(F20&lt;&gt;"",
      SUMIFS(Cant!$I$2:$I$99,Cant!$M$2:$M$99,F20,Cant!$J$2:$J$99,"22/0.4")
      +SUMIFS(Cant!$I$2:$I$99,Cant!$M$2:$M$99,F20,Cant!$J$2:$J$99,"22/0.5")&gt;0),
      SUMIFS(Cant!$I$2:$I$99,Cant!$M$2:$M$99,F20,Cant!$J$2:$J$99,"22/0.4")
      +SUMIFS(Cant!$I$2:$I$99,Cant!$M$2:$M$99,F20,Cant!$J$2:$J$99,"22/0.5"),
    ""),
  "")
)</f>
        <v/>
      </c>
      <c r="H20" s="85" t="str">
        <f t="shared" si="0"/>
        <v/>
      </c>
      <c r="I20" s="8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90" t="str">
        <f t="shared" si="1"/>
        <v/>
      </c>
      <c r="K20" s="91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95" t="str">
        <f t="shared" si="2"/>
        <v/>
      </c>
      <c r="M20" s="96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67" t="str">
        <f t="shared" si="3"/>
        <v/>
      </c>
      <c r="O20" s="30" t="str">
        <f>IF(AND(F20&lt;&gt;"",COUNTIF($F$11:F19,F20)&gt;0),"",IFERROR(IF(AND(N20&lt;&gt;"",SUMIFS(Cant!$I$2:$I$99,Cant!$M$2:$M$99,N20,Cant!$J$2:$J$99,"43/1.0")+SUMIFS(Cant!$I$2:$I$99,Cant!$M$2:$M$99,N20,Cant!$J$2:$J$99,"43/0.8")+SUMIFS(Cant!$I$2:$I$99,Cant!$M$2:$M$99,N20,Cant!$J$2:$J$99,"42/1.0")&gt;0),SUMIFS(Cant!$I$2:$I$99,Cant!$M$2:$M$99,N20,Cant!$J$2:$J$99,"43/1.0")+SUMIFS(Cant!$I$2:$I$99,Cant!$M$2:$M$99,N20,Cant!$J$2:$J$99,"43/0.8")+SUMIFS(Cant!$I$2:$I$99,Cant!$M$2:$M$99,N20,Cant!$J$2:$J$99,"42/1.0"),""),""))</f>
        <v/>
      </c>
      <c r="P20" s="67" t="str">
        <f t="shared" si="4"/>
        <v/>
      </c>
      <c r="Q20" s="30" t="str">
        <f>IF(AND(F20&lt;&gt;"",COUNTIF($F$11:F19,F20)&gt;0),"",IFERROR(IF(AND(P20&lt;&gt;"",SUMIFS(Cant!$I$2:$I$99,Cant!$M$2:$M$99,P20,Cant!$J$2:$J$99,"43/1.5")+SUMIFS(Cant!$I$2:$I$99,Cant!$M$2:$M$99,P20,Cant!$J$2:$J$99,"24/1.5")&gt;0),SUMIFS(Cant!$I$2:$I$99,Cant!$M$2:$M$99,P20,Cant!$J$2:$J$99,"43/1.5")+SUMIFS(Cant!$I$2:$I$99,Cant!$M$2:$M$99,P20,Cant!$J$2:$J$99,"24/1.5"),""),""))</f>
        <v/>
      </c>
      <c r="R20" s="67" t="str">
        <f t="shared" si="5"/>
        <v/>
      </c>
      <c r="S20" s="30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176"/>
      <c r="B21" s="108" t="str" cm="1">
        <f t="array" ref="B21">IFERROR(_xlfn.SINGLE(INDEX(Deco!$Y$2:$Y$99,_xlfn.AGGREGATE(15,6,ROW(Deco!$Y$2:$Y$99)-ROW(Deco!$Y$2)+1/(Deco!$W$2:$W$99="PAL"),11))),"")</f>
        <v/>
      </c>
      <c r="C21" s="109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150" t="str" cm="1">
        <f t="array" ref="F21">IFERROR(INDEX(Cant!$M$2:$M$99,_xlfn.AGGREGATE(15,6,(ROW(Cant!$M$2:$M$99)-ROW(Cant!$M$2)+1)/((Cant!$M$2:$M$99&lt;&gt;"")*(COUNTIF($F$10:F20,Cant!$M$2:$M$99)=0)),1)),"")</f>
        <v/>
      </c>
      <c r="G21" s="81" t="str">
        <f>IF(AND(F21&lt;&gt;"",COUNTIF($F$11:F20,F21)&gt;0),"",
  IFERROR(
    IF(AND(F21&lt;&gt;"",
      SUMIFS(Cant!$I$2:$I$99,Cant!$M$2:$M$99,F21,Cant!$J$2:$J$99,"22/0.4")
      +SUMIFS(Cant!$I$2:$I$99,Cant!$M$2:$M$99,F21,Cant!$J$2:$J$99,"22/0.5")&gt;0),
      SUMIFS(Cant!$I$2:$I$99,Cant!$M$2:$M$99,F21,Cant!$J$2:$J$99,"22/0.4")
      +SUMIFS(Cant!$I$2:$I$99,Cant!$M$2:$M$99,F21,Cant!$J$2:$J$99,"22/0.5"),
    ""),
  "")
)</f>
        <v/>
      </c>
      <c r="H21" s="85" t="str">
        <f t="shared" si="0"/>
        <v/>
      </c>
      <c r="I21" s="8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90" t="str">
        <f t="shared" si="1"/>
        <v/>
      </c>
      <c r="K21" s="91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95" t="str">
        <f t="shared" si="2"/>
        <v/>
      </c>
      <c r="M21" s="96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67" t="str">
        <f t="shared" si="3"/>
        <v/>
      </c>
      <c r="O21" s="30" t="str">
        <f>IF(AND(F21&lt;&gt;"",COUNTIF($F$11:F20,F21)&gt;0),"",IFERROR(IF(AND(N21&lt;&gt;"",SUMIFS(Cant!$I$2:$I$99,Cant!$M$2:$M$99,N21,Cant!$J$2:$J$99,"43/1.0")+SUMIFS(Cant!$I$2:$I$99,Cant!$M$2:$M$99,N21,Cant!$J$2:$J$99,"43/0.8")+SUMIFS(Cant!$I$2:$I$99,Cant!$M$2:$M$99,N21,Cant!$J$2:$J$99,"42/1.0")&gt;0),SUMIFS(Cant!$I$2:$I$99,Cant!$M$2:$M$99,N21,Cant!$J$2:$J$99,"43/1.0")+SUMIFS(Cant!$I$2:$I$99,Cant!$M$2:$M$99,N21,Cant!$J$2:$J$99,"43/0.8")+SUMIFS(Cant!$I$2:$I$99,Cant!$M$2:$M$99,N21,Cant!$J$2:$J$99,"42/1.0"),""),""))</f>
        <v/>
      </c>
      <c r="P21" s="67" t="str">
        <f t="shared" si="4"/>
        <v/>
      </c>
      <c r="Q21" s="30" t="str">
        <f>IF(AND(F21&lt;&gt;"",COUNTIF($F$11:F20,F21)&gt;0),"",IFERROR(IF(AND(P21&lt;&gt;"",SUMIFS(Cant!$I$2:$I$99,Cant!$M$2:$M$99,P21,Cant!$J$2:$J$99,"43/1.5")+SUMIFS(Cant!$I$2:$I$99,Cant!$M$2:$M$99,P21,Cant!$J$2:$J$99,"24/1.5")&gt;0),SUMIFS(Cant!$I$2:$I$99,Cant!$M$2:$M$99,P21,Cant!$J$2:$J$99,"43/1.5")+SUMIFS(Cant!$I$2:$I$99,Cant!$M$2:$M$99,P21,Cant!$J$2:$J$99,"24/1.5"),""),""))</f>
        <v/>
      </c>
      <c r="R21" s="67" t="str">
        <f t="shared" si="5"/>
        <v/>
      </c>
      <c r="S21" s="30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" customHeight="1" thickBot="1">
      <c r="A22" s="177"/>
      <c r="B22" s="108" t="str" cm="1">
        <f t="array" ref="B22">IFERROR(_xlfn.SINGLE(INDEX(Deco!$Y$2:$Y$99,_xlfn.AGGREGATE(15,6,ROW(Deco!$Y$2:$Y$99)-ROW(Deco!$Y$2)+1/(Deco!$W$2:$W$99="PAL"),12))),"")</f>
        <v/>
      </c>
      <c r="C22" s="110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01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5"/>
      <c r="F22" s="150" t="str" cm="1">
        <f t="array" ref="F22">IFERROR(INDEX(Cant!$M$2:$M$99,_xlfn.AGGREGATE(15,6,(ROW(Cant!$M$2:$M$99)-ROW(Cant!$M$2)+1)/((Cant!$M$2:$M$99&lt;&gt;"")*(COUNTIF($F$10:F21,Cant!$M$2:$M$99)=0)),1)),"")</f>
        <v/>
      </c>
      <c r="G22" s="81" t="str">
        <f>IF(AND(F22&lt;&gt;"",COUNTIF($F$11:F21,F22)&gt;0),"",
  IFERROR(
    IF(AND(F22&lt;&gt;"",
      SUMIFS(Cant!$I$2:$I$99,Cant!$M$2:$M$99,F22,Cant!$J$2:$J$99,"22/0.4")
      +SUMIFS(Cant!$I$2:$I$99,Cant!$M$2:$M$99,F22,Cant!$J$2:$J$99,"22/0.5")&gt;0),
      SUMIFS(Cant!$I$2:$I$99,Cant!$M$2:$M$99,F22,Cant!$J$2:$J$99,"22/0.4")
      +SUMIFS(Cant!$I$2:$I$99,Cant!$M$2:$M$99,F22,Cant!$J$2:$J$99,"22/0.5"),
    ""),
  "")
)</f>
        <v/>
      </c>
      <c r="H22" s="85" t="str">
        <f t="shared" si="0"/>
        <v/>
      </c>
      <c r="I22" s="8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90" t="str">
        <f t="shared" si="1"/>
        <v/>
      </c>
      <c r="K22" s="91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95" t="str">
        <f t="shared" si="2"/>
        <v/>
      </c>
      <c r="M22" s="96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67" t="str">
        <f t="shared" si="3"/>
        <v/>
      </c>
      <c r="O22" s="30" t="str">
        <f>IF(AND(F22&lt;&gt;"",COUNTIF($F$11:F21,F22)&gt;0),"",IFERROR(IF(AND(N22&lt;&gt;"",SUMIFS(Cant!$I$2:$I$99,Cant!$M$2:$M$99,N22,Cant!$J$2:$J$99,"43/1.0")+SUMIFS(Cant!$I$2:$I$99,Cant!$M$2:$M$99,N22,Cant!$J$2:$J$99,"43/0.8")+SUMIFS(Cant!$I$2:$I$99,Cant!$M$2:$M$99,N22,Cant!$J$2:$J$99,"42/1.0")&gt;0),SUMIFS(Cant!$I$2:$I$99,Cant!$M$2:$M$99,N22,Cant!$J$2:$J$99,"43/1.0")+SUMIFS(Cant!$I$2:$I$99,Cant!$M$2:$M$99,N22,Cant!$J$2:$J$99,"43/0.8")+SUMIFS(Cant!$I$2:$I$99,Cant!$M$2:$M$99,N22,Cant!$J$2:$J$99,"42/1.0"),""),""))</f>
        <v/>
      </c>
      <c r="P22" s="67" t="str">
        <f t="shared" si="4"/>
        <v/>
      </c>
      <c r="Q22" s="30" t="str">
        <f>IF(AND(F22&lt;&gt;"",COUNTIF($F$11:F21,F22)&gt;0),"",IFERROR(IF(AND(P22&lt;&gt;"",SUMIFS(Cant!$I$2:$I$99,Cant!$M$2:$M$99,P22,Cant!$J$2:$J$99,"43/1.5")+SUMIFS(Cant!$I$2:$I$99,Cant!$M$2:$M$99,P22,Cant!$J$2:$J$99,"24/1.5")&gt;0),SUMIFS(Cant!$I$2:$I$99,Cant!$M$2:$M$99,P22,Cant!$J$2:$J$99,"43/1.5")+SUMIFS(Cant!$I$2:$I$99,Cant!$M$2:$M$99,P22,Cant!$J$2:$J$99,"24/1.5"),""),""))</f>
        <v/>
      </c>
      <c r="R22" s="67" t="str">
        <f t="shared" si="5"/>
        <v/>
      </c>
      <c r="S22" s="30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0" customFormat="1" ht="11.25" hidden="1" customHeight="1" thickBot="1">
      <c r="A23" s="52"/>
      <c r="B23" s="47"/>
      <c r="C23" s="47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8"/>
      <c r="F23" s="150"/>
      <c r="G23" s="81"/>
      <c r="H23" s="85" t="str">
        <f t="shared" si="0"/>
        <v/>
      </c>
      <c r="I23" s="153"/>
      <c r="J23" s="90" t="str">
        <f t="shared" si="1"/>
        <v/>
      </c>
      <c r="K23" s="91"/>
      <c r="L23" s="95" t="str">
        <f t="shared" si="2"/>
        <v/>
      </c>
      <c r="M23" s="96"/>
      <c r="N23" s="67" t="str">
        <f t="shared" si="3"/>
        <v/>
      </c>
      <c r="O23" s="157"/>
      <c r="P23" s="67" t="str">
        <f t="shared" si="4"/>
        <v/>
      </c>
      <c r="Q23" s="157"/>
      <c r="R23" s="67" t="str">
        <f t="shared" si="5"/>
        <v/>
      </c>
      <c r="S23" s="30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175" t="s">
        <v>10</v>
      </c>
      <c r="B24" s="56" t="str" cm="1">
        <f t="array" ref="B24">IFERROR(_xlfn.SINGLE(INDEX(Deco!$Y$2:$Y$99,_xlfn.AGGREGATE(15,6,ROW(Deco!$Y$2:$Y$99)-ROW(Deco!$Y$2)+1/(Deco!$W$2:$W$99="MDF"),1))),"")</f>
        <v/>
      </c>
      <c r="C24" s="58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5"/>
      <c r="F24" s="150" t="str" cm="1">
        <f t="array" ref="F24">IFERROR(INDEX(Cant!$M$2:$M$99,_xlfn.AGGREGATE(15,6,(ROW(Cant!$M$2:$M$99)-ROW(Cant!$M$2)+1)/((Cant!$M$2:$M$99&lt;&gt;"")*(COUNTIF($F$10:F23,Cant!$M$2:$M$99)=0)),1)),"")</f>
        <v/>
      </c>
      <c r="G24" s="81" t="str">
        <f>IF(AND(F24&lt;&gt;"",COUNTIF($F$11:F23,F24)&gt;0),"",
  IFERROR(
    IF(AND(F24&lt;&gt;"",
      SUMIFS(Cant!$I$2:$I$99,Cant!$M$2:$M$99,F24,Cant!$J$2:$J$99,"22/0.4")
      +SUMIFS(Cant!$I$2:$I$99,Cant!$M$2:$M$99,F24,Cant!$J$2:$J$99,"22/0.5")&gt;0),
      SUMIFS(Cant!$I$2:$I$99,Cant!$M$2:$M$99,F24,Cant!$J$2:$J$99,"22/0.4")
      +SUMIFS(Cant!$I$2:$I$99,Cant!$M$2:$M$99,F24,Cant!$J$2:$J$99,"22/0.5"),
    ""),
  "")
)</f>
        <v/>
      </c>
      <c r="H24" s="85" t="str">
        <f t="shared" si="0"/>
        <v/>
      </c>
      <c r="I24" s="86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90" t="str">
        <f t="shared" si="1"/>
        <v/>
      </c>
      <c r="K24" s="9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95" t="str">
        <f t="shared" si="2"/>
        <v/>
      </c>
      <c r="M24" s="96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67" t="str">
        <f t="shared" si="3"/>
        <v/>
      </c>
      <c r="O24" s="30" t="str">
        <f>IF(AND(F24&lt;&gt;"",COUNTIF($F$11:F23,F24)&gt;0),"",IFERROR(IF(AND(N24&lt;&gt;"",SUMIFS(Cant!$I$2:$I$99,Cant!$M$2:$M$99,N24,Cant!$J$2:$J$99,"43/1.0")+SUMIFS(Cant!$I$2:$I$99,Cant!$M$2:$M$99,N24,Cant!$J$2:$J$99,"43/0.8")+SUMIFS(Cant!$I$2:$I$99,Cant!$M$2:$M$99,N24,Cant!$J$2:$J$99,"42/1.0")&gt;0),SUMIFS(Cant!$I$2:$I$99,Cant!$M$2:$M$99,N24,Cant!$J$2:$J$99,"43/1.0")+SUMIFS(Cant!$I$2:$I$99,Cant!$M$2:$M$99,N24,Cant!$J$2:$J$99,"43/0.8")+SUMIFS(Cant!$I$2:$I$99,Cant!$M$2:$M$99,N24,Cant!$J$2:$J$99,"42/1.0"),""),""))</f>
        <v/>
      </c>
      <c r="P24" s="67" t="str">
        <f t="shared" si="4"/>
        <v/>
      </c>
      <c r="Q24" s="30" t="str">
        <f>IF(AND(F24&lt;&gt;"",COUNTIF($F$11:F23,F24)&gt;0),"",IFERROR(IF(AND(P24&lt;&gt;"",SUMIFS(Cant!$I$2:$I$99,Cant!$M$2:$M$99,P24,Cant!$J$2:$J$99,"43/1.5")+SUMIFS(Cant!$I$2:$I$99,Cant!$M$2:$M$99,P24,Cant!$J$2:$J$99,"24/1.5")&gt;0),SUMIFS(Cant!$I$2:$I$99,Cant!$M$2:$M$99,P24,Cant!$J$2:$J$99,"43/1.5")+SUMIFS(Cant!$I$2:$I$99,Cant!$M$2:$M$99,P24,Cant!$J$2:$J$99,"24/1.5"),""),""))</f>
        <v/>
      </c>
      <c r="R24" s="67" t="str">
        <f t="shared" si="5"/>
        <v/>
      </c>
      <c r="S24" s="30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176"/>
      <c r="B25" s="67" t="str">
        <f>IFERROR(INDEX(Deco!$Y$2:$Y$99,_xlfn.AGGREGATE(15,6,ROW(Deco!$Y$2:$Y$99)-ROW(Deco!$Y$2)+1/(Deco!$W$2:$W$99="MDF"),2)),"")</f>
        <v/>
      </c>
      <c r="C25" s="109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150" t="str" cm="1">
        <f t="array" ref="F25">IFERROR(INDEX(Cant!$M$2:$M$99,_xlfn.AGGREGATE(15,6,(ROW(Cant!$M$2:$M$99)-ROW(Cant!$M$2)+1)/((Cant!$M$2:$M$99&lt;&gt;"")*(COUNTIF($F$10:F24,Cant!$M$2:$M$99)=0)),1)),"")</f>
        <v/>
      </c>
      <c r="G25" s="81" t="str">
        <f>IF(AND(F25&lt;&gt;"",COUNTIF($F$11:F24,F25)&gt;0),"",
  IFERROR(
    IF(AND(F25&lt;&gt;"",
      SUMIFS(Cant!$I$2:$I$99,Cant!$M$2:$M$99,F25,Cant!$J$2:$J$99,"22/0.4")
      +SUMIFS(Cant!$I$2:$I$99,Cant!$M$2:$M$99,F25,Cant!$J$2:$J$99,"22/0.5")&gt;0),
      SUMIFS(Cant!$I$2:$I$99,Cant!$M$2:$M$99,F25,Cant!$J$2:$J$99,"22/0.4")
      +SUMIFS(Cant!$I$2:$I$99,Cant!$M$2:$M$99,F25,Cant!$J$2:$J$99,"22/0.5"),
    ""),
  "")
)</f>
        <v/>
      </c>
      <c r="H25" s="85" t="str">
        <f t="shared" si="0"/>
        <v/>
      </c>
      <c r="I25" s="86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90" t="str">
        <f t="shared" si="1"/>
        <v/>
      </c>
      <c r="K25" s="91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95" t="str">
        <f t="shared" si="2"/>
        <v/>
      </c>
      <c r="M25" s="96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67" t="str">
        <f t="shared" si="3"/>
        <v/>
      </c>
      <c r="O25" s="30" t="str">
        <f>IF(AND(F25&lt;&gt;"",COUNTIF($F$11:F24,F25)&gt;0),"",IFERROR(IF(AND(N25&lt;&gt;"",SUMIFS(Cant!$I$2:$I$99,Cant!$M$2:$M$99,N25,Cant!$J$2:$J$99,"43/1.0")+SUMIFS(Cant!$I$2:$I$99,Cant!$M$2:$M$99,N25,Cant!$J$2:$J$99,"43/0.8")+SUMIFS(Cant!$I$2:$I$99,Cant!$M$2:$M$99,N25,Cant!$J$2:$J$99,"42/1.0")&gt;0),SUMIFS(Cant!$I$2:$I$99,Cant!$M$2:$M$99,N25,Cant!$J$2:$J$99,"43/1.0")+SUMIFS(Cant!$I$2:$I$99,Cant!$M$2:$M$99,N25,Cant!$J$2:$J$99,"43/0.8")+SUMIFS(Cant!$I$2:$I$99,Cant!$M$2:$M$99,N25,Cant!$J$2:$J$99,"42/1.0"),""),""))</f>
        <v/>
      </c>
      <c r="P25" s="67" t="str">
        <f t="shared" si="4"/>
        <v/>
      </c>
      <c r="Q25" s="30" t="str">
        <f>IF(AND(F25&lt;&gt;"",COUNTIF($F$11:F24,F25)&gt;0),"",IFERROR(IF(AND(P25&lt;&gt;"",SUMIFS(Cant!$I$2:$I$99,Cant!$M$2:$M$99,P25,Cant!$J$2:$J$99,"43/1.5")+SUMIFS(Cant!$I$2:$I$99,Cant!$M$2:$M$99,P25,Cant!$J$2:$J$99,"24/1.5")&gt;0),SUMIFS(Cant!$I$2:$I$99,Cant!$M$2:$M$99,P25,Cant!$J$2:$J$99,"43/1.5")+SUMIFS(Cant!$I$2:$I$99,Cant!$M$2:$M$99,P25,Cant!$J$2:$J$99,"24/1.5"),""),""))</f>
        <v/>
      </c>
      <c r="R25" s="67" t="str">
        <f t="shared" si="5"/>
        <v/>
      </c>
      <c r="S25" s="30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176"/>
      <c r="B26" s="67" t="str" cm="1">
        <f t="array" ref="B26">IFERROR(_xlfn.SINGLE(INDEX(Deco!$Y$2:$Y$99,_xlfn.AGGREGATE(15,6,ROW(Deco!$Y$2:$Y$99)-ROW(Deco!$Y$2)+1/(Deco!$W$2:$W$99="MDF"),3))),"")</f>
        <v/>
      </c>
      <c r="C26" s="109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150" t="str" cm="1">
        <f t="array" ref="F26">IFERROR(INDEX(Cant!$M$2:$M$99,_xlfn.AGGREGATE(15,6,(ROW(Cant!$M$2:$M$99)-ROW(Cant!$M$2)+1)/((Cant!$M$2:$M$99&lt;&gt;"")*(COUNTIF($F$10:F25,Cant!$M$2:$M$99)=0)),1)),"")</f>
        <v/>
      </c>
      <c r="G26" s="81" t="str">
        <f>IF(AND(F26&lt;&gt;"",COUNTIF($F$11:F25,F26)&gt;0),"",
  IFERROR(
    IF(AND(F26&lt;&gt;"",
      SUMIFS(Cant!$I$2:$I$99,Cant!$M$2:$M$99,F26,Cant!$J$2:$J$99,"22/0.4")
      +SUMIFS(Cant!$I$2:$I$99,Cant!$M$2:$M$99,F26,Cant!$J$2:$J$99,"22/0.5")&gt;0),
      SUMIFS(Cant!$I$2:$I$99,Cant!$M$2:$M$99,F26,Cant!$J$2:$J$99,"22/0.4")
      +SUMIFS(Cant!$I$2:$I$99,Cant!$M$2:$M$99,F26,Cant!$J$2:$J$99,"22/0.5"),
    ""),
  "")
)</f>
        <v/>
      </c>
      <c r="H26" s="85" t="str">
        <f t="shared" si="0"/>
        <v/>
      </c>
      <c r="I26" s="86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90" t="str">
        <f t="shared" si="1"/>
        <v/>
      </c>
      <c r="K26" s="91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95" t="str">
        <f t="shared" si="2"/>
        <v/>
      </c>
      <c r="M26" s="96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67" t="str">
        <f t="shared" si="3"/>
        <v/>
      </c>
      <c r="O26" s="30" t="str">
        <f>IF(AND(F26&lt;&gt;"",COUNTIF($F$11:F25,F26)&gt;0),"",IFERROR(IF(AND(N26&lt;&gt;"",SUMIFS(Cant!$I$2:$I$99,Cant!$M$2:$M$99,N26,Cant!$J$2:$J$99,"43/1.0")+SUMIFS(Cant!$I$2:$I$99,Cant!$M$2:$M$99,N26,Cant!$J$2:$J$99,"43/0.8")+SUMIFS(Cant!$I$2:$I$99,Cant!$M$2:$M$99,N26,Cant!$J$2:$J$99,"42/1.0")&gt;0),SUMIFS(Cant!$I$2:$I$99,Cant!$M$2:$M$99,N26,Cant!$J$2:$J$99,"43/1.0")+SUMIFS(Cant!$I$2:$I$99,Cant!$M$2:$M$99,N26,Cant!$J$2:$J$99,"43/0.8")+SUMIFS(Cant!$I$2:$I$99,Cant!$M$2:$M$99,N26,Cant!$J$2:$J$99,"42/1.0"),""),""))</f>
        <v/>
      </c>
      <c r="P26" s="67" t="str">
        <f t="shared" si="4"/>
        <v/>
      </c>
      <c r="Q26" s="30" t="str">
        <f>IF(AND(F26&lt;&gt;"",COUNTIF($F$11:F25,F26)&gt;0),"",IFERROR(IF(AND(P26&lt;&gt;"",SUMIFS(Cant!$I$2:$I$99,Cant!$M$2:$M$99,P26,Cant!$J$2:$J$99,"43/1.5")+SUMIFS(Cant!$I$2:$I$99,Cant!$M$2:$M$99,P26,Cant!$J$2:$J$99,"24/1.5")&gt;0),SUMIFS(Cant!$I$2:$I$99,Cant!$M$2:$M$99,P26,Cant!$J$2:$J$99,"43/1.5")+SUMIFS(Cant!$I$2:$I$99,Cant!$M$2:$M$99,P26,Cant!$J$2:$J$99,"24/1.5"),""),""))</f>
        <v/>
      </c>
      <c r="R26" s="67" t="str">
        <f t="shared" si="5"/>
        <v/>
      </c>
      <c r="S26" s="30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176"/>
      <c r="B27" s="67" t="str" cm="1">
        <f t="array" ref="B27">IFERROR(_xlfn.SINGLE(INDEX(Deco!$Y$2:$Y$99,_xlfn.AGGREGATE(15,6,ROW(Deco!$Y$2:$Y$99)-ROW(Deco!$Y$2)+1/(Deco!$W$2:$W$99="MDF"),4))),"")</f>
        <v/>
      </c>
      <c r="C27" s="109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150" t="str" cm="1">
        <f t="array" ref="F27">IFERROR(INDEX(Cant!$M$2:$M$99,_xlfn.AGGREGATE(15,6,(ROW(Cant!$M$2:$M$99)-ROW(Cant!$M$2)+1)/((Cant!$M$2:$M$99&lt;&gt;"")*(COUNTIF($F$10:F26,Cant!$M$2:$M$99)=0)),1)),"")</f>
        <v/>
      </c>
      <c r="G27" s="81" t="str">
        <f>IF(AND(F27&lt;&gt;"",COUNTIF($F$11:F26,F27)&gt;0),"",
  IFERROR(
    IF(AND(F27&lt;&gt;"",
      SUMIFS(Cant!$I$2:$I$99,Cant!$M$2:$M$99,F27,Cant!$J$2:$J$99,"22/0.4")
      +SUMIFS(Cant!$I$2:$I$99,Cant!$M$2:$M$99,F27,Cant!$J$2:$J$99,"22/0.5")&gt;0),
      SUMIFS(Cant!$I$2:$I$99,Cant!$M$2:$M$99,F27,Cant!$J$2:$J$99,"22/0.4")
      +SUMIFS(Cant!$I$2:$I$99,Cant!$M$2:$M$99,F27,Cant!$J$2:$J$99,"22/0.5"),
    ""),
  "")
)</f>
        <v/>
      </c>
      <c r="H27" s="85" t="str">
        <f t="shared" si="0"/>
        <v/>
      </c>
      <c r="I27" s="86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90" t="str">
        <f t="shared" si="1"/>
        <v/>
      </c>
      <c r="K27" s="91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95" t="str">
        <f t="shared" si="2"/>
        <v/>
      </c>
      <c r="M27" s="96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67" t="str">
        <f t="shared" si="3"/>
        <v/>
      </c>
      <c r="O27" s="30" t="str">
        <f>IF(AND(F27&lt;&gt;"",COUNTIF($F$11:F26,F27)&gt;0),"",IFERROR(IF(AND(N27&lt;&gt;"",SUMIFS(Cant!$I$2:$I$99,Cant!$M$2:$M$99,N27,Cant!$J$2:$J$99,"43/1.0")+SUMIFS(Cant!$I$2:$I$99,Cant!$M$2:$M$99,N27,Cant!$J$2:$J$99,"43/0.8")+SUMIFS(Cant!$I$2:$I$99,Cant!$M$2:$M$99,N27,Cant!$J$2:$J$99,"42/1.0")&gt;0),SUMIFS(Cant!$I$2:$I$99,Cant!$M$2:$M$99,N27,Cant!$J$2:$J$99,"43/1.0")+SUMIFS(Cant!$I$2:$I$99,Cant!$M$2:$M$99,N27,Cant!$J$2:$J$99,"43/0.8")+SUMIFS(Cant!$I$2:$I$99,Cant!$M$2:$M$99,N27,Cant!$J$2:$J$99,"42/1.0"),""),""))</f>
        <v/>
      </c>
      <c r="P27" s="67" t="str">
        <f t="shared" si="4"/>
        <v/>
      </c>
      <c r="Q27" s="30" t="str">
        <f>IF(AND(F27&lt;&gt;"",COUNTIF($F$11:F26,F27)&gt;0),"",IFERROR(IF(AND(P27&lt;&gt;"",SUMIFS(Cant!$I$2:$I$99,Cant!$M$2:$M$99,P27,Cant!$J$2:$J$99,"43/1.5")+SUMIFS(Cant!$I$2:$I$99,Cant!$M$2:$M$99,P27,Cant!$J$2:$J$99,"24/1.5")&gt;0),SUMIFS(Cant!$I$2:$I$99,Cant!$M$2:$M$99,P27,Cant!$J$2:$J$99,"43/1.5")+SUMIFS(Cant!$I$2:$I$99,Cant!$M$2:$M$99,P27,Cant!$J$2:$J$99,"24/1.5"),""),""))</f>
        <v/>
      </c>
      <c r="R27" s="67" t="str">
        <f t="shared" si="5"/>
        <v/>
      </c>
      <c r="S27" s="30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178"/>
      <c r="B28" s="67" t="str" cm="1">
        <f t="array" ref="B28">IFERROR(_xlfn.SINGLE(INDEX(Deco!$Y$2:$Y$99,_xlfn.AGGREGATE(15,6,ROW(Deco!$Y$2:$Y$99)-ROW(Deco!$Y$2)+1/(Deco!$W$2:$W$99="MDF"),5))),"")</f>
        <v/>
      </c>
      <c r="C28" s="110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5"/>
      <c r="F28" s="150" t="str" cm="1">
        <f t="array" ref="F28">IFERROR(INDEX(Cant!$M$2:$M$99,_xlfn.AGGREGATE(15,6,(ROW(Cant!$M$2:$M$99)-ROW(Cant!$M$2)+1)/((Cant!$M$2:$M$99&lt;&gt;"")*(COUNTIF($F$10:F27,Cant!$M$2:$M$99)=0)),1)),"")</f>
        <v/>
      </c>
      <c r="G28" s="81" t="str">
        <f>IF(AND(F28&lt;&gt;"",COUNTIF($F$11:F27,F28)&gt;0),"",
  IFERROR(
    IF(AND(F28&lt;&gt;"",
      SUMIFS(Cant!$I$2:$I$99,Cant!$M$2:$M$99,F28,Cant!$J$2:$J$99,"22/0.4")
      +SUMIFS(Cant!$I$2:$I$99,Cant!$M$2:$M$99,F28,Cant!$J$2:$J$99,"22/0.5")&gt;0),
      SUMIFS(Cant!$I$2:$I$99,Cant!$M$2:$M$99,F28,Cant!$J$2:$J$99,"22/0.4")
      +SUMIFS(Cant!$I$2:$I$99,Cant!$M$2:$M$99,F28,Cant!$J$2:$J$99,"22/0.5"),
    ""),
  "")
)</f>
        <v/>
      </c>
      <c r="H28" s="85" t="str">
        <f t="shared" si="0"/>
        <v/>
      </c>
      <c r="I28" s="86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90" t="str">
        <f t="shared" si="1"/>
        <v/>
      </c>
      <c r="K28" s="91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95" t="str">
        <f t="shared" si="2"/>
        <v/>
      </c>
      <c r="M28" s="96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67" t="str">
        <f t="shared" si="3"/>
        <v/>
      </c>
      <c r="O28" s="30" t="str">
        <f>IF(AND(F28&lt;&gt;"",COUNTIF($F$11:F27,F28)&gt;0),"",IFERROR(IF(AND(N28&lt;&gt;"",SUMIFS(Cant!$I$2:$I$99,Cant!$M$2:$M$99,N28,Cant!$J$2:$J$99,"43/1.0")+SUMIFS(Cant!$I$2:$I$99,Cant!$M$2:$M$99,N28,Cant!$J$2:$J$99,"43/0.8")+SUMIFS(Cant!$I$2:$I$99,Cant!$M$2:$M$99,N28,Cant!$J$2:$J$99,"42/1.0")&gt;0),SUMIFS(Cant!$I$2:$I$99,Cant!$M$2:$M$99,N28,Cant!$J$2:$J$99,"43/1.0")+SUMIFS(Cant!$I$2:$I$99,Cant!$M$2:$M$99,N28,Cant!$J$2:$J$99,"43/0.8")+SUMIFS(Cant!$I$2:$I$99,Cant!$M$2:$M$99,N28,Cant!$J$2:$J$99,"42/1.0"),""),""))</f>
        <v/>
      </c>
      <c r="P28" s="67" t="str">
        <f t="shared" si="4"/>
        <v/>
      </c>
      <c r="Q28" s="30" t="str">
        <f>IF(AND(F28&lt;&gt;"",COUNTIF($F$11:F27,F28)&gt;0),"",IFERROR(IF(AND(P28&lt;&gt;"",SUMIFS(Cant!$I$2:$I$99,Cant!$M$2:$M$99,P28,Cant!$J$2:$J$99,"43/1.5")+SUMIFS(Cant!$I$2:$I$99,Cant!$M$2:$M$99,P28,Cant!$J$2:$J$99,"24/1.5")&gt;0),SUMIFS(Cant!$I$2:$I$99,Cant!$M$2:$M$99,P28,Cant!$J$2:$J$99,"43/1.5")+SUMIFS(Cant!$I$2:$I$99,Cant!$M$2:$M$99,P28,Cant!$J$2:$J$99,"24/1.5"),""),""))</f>
        <v/>
      </c>
      <c r="R28" s="67" t="str">
        <f t="shared" si="5"/>
        <v/>
      </c>
      <c r="S28" s="30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0" customFormat="1" ht="15.75" hidden="1" customHeight="1" thickBot="1">
      <c r="A29" s="53"/>
      <c r="B29" s="76"/>
      <c r="C29" s="76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8"/>
      <c r="F29" s="151"/>
      <c r="G29" s="152"/>
      <c r="H29" s="85" t="str">
        <f t="shared" si="0"/>
        <v/>
      </c>
      <c r="I29" s="154"/>
      <c r="J29" s="90" t="str">
        <f t="shared" si="1"/>
        <v/>
      </c>
      <c r="K29" s="155"/>
      <c r="L29" s="95" t="str">
        <f t="shared" si="2"/>
        <v/>
      </c>
      <c r="M29" s="156"/>
      <c r="N29" s="67" t="str">
        <f t="shared" si="3"/>
        <v/>
      </c>
      <c r="O29" s="158"/>
      <c r="P29" s="67" t="str">
        <f t="shared" si="4"/>
        <v/>
      </c>
      <c r="Q29" s="158"/>
      <c r="R29" s="67" t="str">
        <f t="shared" si="5"/>
        <v/>
      </c>
      <c r="S29" s="159"/>
    </row>
    <row r="30" spans="1:19" ht="15.75" thickBot="1">
      <c r="A30" s="59" t="s">
        <v>66</v>
      </c>
      <c r="B30" s="56" t="str" cm="1">
        <f t="array" ref="B30">IFERROR(_xlfn.SINGLE(INDEX(Deco!$Y$2:$Y$99,_xlfn.AGGREGATE(15,6,ROW(Deco!$Y$2:$Y$99)-ROW(Deco!$Y$2)+1/(Deco!$W$2:$W$99="HDF"),1))),"")</f>
        <v/>
      </c>
      <c r="C30" s="58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8"/>
      <c r="F30" s="151"/>
      <c r="G30" s="81"/>
      <c r="H30" s="85" t="str">
        <f t="shared" si="0"/>
        <v/>
      </c>
      <c r="I30" s="86"/>
      <c r="J30" s="90" t="str">
        <f t="shared" si="1"/>
        <v/>
      </c>
      <c r="K30" s="91"/>
      <c r="L30" s="95" t="str">
        <f t="shared" si="2"/>
        <v/>
      </c>
      <c r="M30" s="96"/>
      <c r="N30" s="67" t="str">
        <f t="shared" si="3"/>
        <v/>
      </c>
      <c r="O30" s="157"/>
      <c r="P30" s="67" t="str">
        <f t="shared" si="4"/>
        <v/>
      </c>
      <c r="Q30" s="157"/>
      <c r="R30" s="67" t="str">
        <f t="shared" si="5"/>
        <v/>
      </c>
      <c r="S30" s="159"/>
    </row>
    <row r="31" spans="1:19" ht="2.1" hidden="1" customHeight="1" thickBot="1">
      <c r="A31" s="54"/>
      <c r="B31" s="62"/>
      <c r="C31" s="48"/>
      <c r="D31" s="63"/>
      <c r="E31" s="48"/>
      <c r="F31" s="150"/>
      <c r="G31" s="81"/>
      <c r="H31" s="85" t="str">
        <f t="shared" si="0"/>
        <v/>
      </c>
      <c r="I31" s="86"/>
      <c r="J31" s="90" t="str">
        <f t="shared" si="1"/>
        <v/>
      </c>
      <c r="K31" s="91"/>
      <c r="L31" s="95" t="str">
        <f t="shared" si="2"/>
        <v/>
      </c>
      <c r="M31" s="96"/>
      <c r="N31" s="67" t="str">
        <f t="shared" si="3"/>
        <v/>
      </c>
      <c r="O31" s="157"/>
      <c r="P31" s="67" t="str">
        <f t="shared" si="4"/>
        <v/>
      </c>
      <c r="Q31" s="157"/>
      <c r="R31" s="67" t="str">
        <f t="shared" si="5"/>
        <v/>
      </c>
      <c r="S31" s="160"/>
    </row>
    <row r="32" spans="1:19" ht="15.75" customHeight="1">
      <c r="A32" s="165" t="s">
        <v>78</v>
      </c>
      <c r="B32" s="56" t="str" cm="1">
        <f t="array" ref="B32">IFERROR(_xlfn.SINGLE(INDEX(Deco!$Y$2:$Y$99,_xlfn.AGGREGATE(15,6,ROW(Deco!$Y$2:$Y$99)-ROW(Deco!$Y$2)+1/((Deco!$W$2:$W$99="Blat")+(Deco!$W$2:$W$99="LC")),1))),"")</f>
        <v/>
      </c>
      <c r="C32" s="58" t="str">
        <f>IF(D32="buc",IF(B32&lt;&gt;"",INDEX(Deco!$C$2:$C$99,MATCH(B32,Deco!$Y$2:$Y$99,0)),""),IF(B32&lt;&gt;"",INDEX(Deco!$V$2:$V$99,MATCH(B32,Deco!$Y$2:$Y$99,0)),""))</f>
        <v/>
      </c>
      <c r="D32" s="29" t="s">
        <v>54</v>
      </c>
      <c r="E32" s="2"/>
      <c r="F32" s="150" t="str" cm="1">
        <f t="array" ref="F32">IFERROR(INDEX(Cant!$M$2:$M$99,_xlfn.AGGREGATE(15,6,(ROW(Cant!$M$2:$M$99)-ROW(Cant!$M$2)+1)/((Cant!$M$2:$M$99&lt;&gt;"")*(COUNTIF($F$10:F31,Cant!$M$2:$M$99)=0)),1)),"")</f>
        <v/>
      </c>
      <c r="G32" s="81" t="str">
        <f>IF(AND(F32&lt;&gt;"",COUNTIF($F$11:F31,F32)&gt;0),"",
  IFERROR(
    IF(AND(F32&lt;&gt;"",
      SUMIFS(Cant!$I$2:$I$99,Cant!$M$2:$M$99,F32,Cant!$J$2:$J$99,"22/0.4")
      +SUMIFS(Cant!$I$2:$I$99,Cant!$M$2:$M$99,F32,Cant!$J$2:$J$99,"22/0.5")&gt;0),
      SUMIFS(Cant!$I$2:$I$99,Cant!$M$2:$M$99,F32,Cant!$J$2:$J$99,"22/0.4")
      +SUMIFS(Cant!$I$2:$I$99,Cant!$M$2:$M$99,F32,Cant!$J$2:$J$99,"22/0.5"),
    ""),
  ""))</f>
        <v/>
      </c>
      <c r="H32" s="85" t="str">
        <f t="shared" si="0"/>
        <v/>
      </c>
      <c r="I32" s="86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90" t="str">
        <f t="shared" si="1"/>
        <v/>
      </c>
      <c r="K32" s="9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95" t="str">
        <f t="shared" si="2"/>
        <v/>
      </c>
      <c r="M32" s="96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67" t="str">
        <f t="shared" si="3"/>
        <v/>
      </c>
      <c r="O32" s="30" t="str">
        <f>IF(AND(F32&lt;&gt;"",COUNTIF($F$11:F31,F32)&gt;0),"",IFERROR(IF(COUNTIF(F$11:F$22,N32)&gt;0,"",IF(AND(N32&lt;&gt;"",SUMIFS(Cant!$I$2:$I$100,Cant!$M$2:$M$100,N32,Cant!$J$2:$J$100,"43/1.0")+SUMIFS(Cant!$I$2:$I$99,Cant!$M$2:$M$99,N32,Cant!$J$2:$J$99,"43/0.8")+SUMIFS(Cant!$I$2:$I$99,Cant!$M$2:$M$99,N32,Cant!$J$2:$J$99,"42/1.0")&gt;0),SUMIFS(Cant!$I$2:$I$100,Cant!$M$2:$M$100,N32,Cant!$J$2:$J$100,"43/1.0")+SUMIFS(Cant!$I$2:$I$99,Cant!$M$2:$M$99,N32,Cant!$J$2:$J$99,"43/0.8")+SUMIFS(Cant!$I$2:$I$99,Cant!$M$2:$M$99,N32,Cant!$J$2:$J$99,"42/1.0"),"")),""))</f>
        <v/>
      </c>
      <c r="P32" s="67" t="str">
        <f t="shared" si="4"/>
        <v/>
      </c>
      <c r="Q32" s="30" t="str">
        <f>IF(AND(F32&lt;&gt;"",COUNTIF($F$11:F31,F32)&gt;0),"",IFERROR(IF(COUNTIF(F$11:F$22,P32)&gt;0,"",IF(AND(P32&lt;&gt;"",SUMIFS(Cant!$I$2:$I$100,Cant!$M$2:$M$100,P32,Cant!$J$2:$J$100,"43/1.5")+SUMIFS(Cant!$I$2:$I$100,Cant!$M$2:$M$100,P32,Cant!$J$2:$J$100,"24/1.5")&gt;0),SUMIFS(Cant!$I$2:$I$100,Cant!$M$2:$M$100,P32,Cant!$J$2:$J$100,"43/1.5")+SUMIFS(Cant!$I$2:$I$100,Cant!$M$2:$M$100,P32,Cant!$J$2:$J$100,"24/1.5"),"")),""))</f>
        <v/>
      </c>
      <c r="R32" s="67" t="str">
        <f t="shared" si="5"/>
        <v/>
      </c>
      <c r="S32" s="30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166"/>
      <c r="B33" s="67" t="str" cm="1">
        <f t="array" ref="B33">IFERROR(_xlfn.SINGLE(INDEX(Deco!$Y$2:$Y$99,_xlfn.AGGREGATE(15,6,ROW(Deco!$Y$2:$Y$99)-ROW(Deco!$Y$2)+1/((Deco!$W$2:$W$99="Blat")+(Deco!$W$2:$W$99="LC")),2))),"")</f>
        <v/>
      </c>
      <c r="C33" s="109" t="str">
        <f>IF(D33="buc",IF(B33&lt;&gt;"",INDEX(Deco!$C$2:$C$99,MATCH(B33,Deco!$Y$2:$Y$99,0)),""),IF(B33&lt;&gt;"",INDEX(Deco!$V$2:$V$99,MATCH(B33,Deco!$Y$2:$Y$99,0)),""))</f>
        <v/>
      </c>
      <c r="D33" s="30" t="s">
        <v>54</v>
      </c>
      <c r="E33" s="2"/>
      <c r="F33" s="150" t="str" cm="1">
        <f t="array" ref="F33">IFERROR(INDEX(Cant!$M$2:$M$99,_xlfn.AGGREGATE(15,6,(ROW(Cant!$M$2:$M$99)-ROW(Cant!$M$2)+1)/((Cant!$M$2:$M$99&lt;&gt;"")*(COUNTIF($F$10:F32,Cant!$M$2:$M$99)=0)),1)),"")</f>
        <v/>
      </c>
      <c r="G33" s="81" t="str">
        <f>IF(AND(F33&lt;&gt;"",COUNTIF($F$11:F32,F33)&gt;0),"",
  IFERROR(
    IF(AND(F33&lt;&gt;"",
      SUMIFS(Cant!$I$2:$I$99,Cant!$M$2:$M$99,F33,Cant!$J$2:$J$99,"22/0.4")
      +SUMIFS(Cant!$I$2:$I$99,Cant!$M$2:$M$99,F33,Cant!$J$2:$J$99,"22/0.5")&gt;0),
      SUMIFS(Cant!$I$2:$I$99,Cant!$M$2:$M$99,F33,Cant!$J$2:$J$99,"22/0.4")
      +SUMIFS(Cant!$I$2:$I$99,Cant!$M$2:$M$99,F33,Cant!$J$2:$J$99,"22/0.5"),
    ""),
  ""))</f>
        <v/>
      </c>
      <c r="H33" s="85" t="str">
        <f t="shared" si="0"/>
        <v/>
      </c>
      <c r="I33" s="86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90" t="str">
        <f t="shared" si="1"/>
        <v/>
      </c>
      <c r="K33" s="91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95" t="str">
        <f t="shared" si="2"/>
        <v/>
      </c>
      <c r="M33" s="96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67" t="str">
        <f t="shared" si="3"/>
        <v/>
      </c>
      <c r="O33" s="30" t="str">
        <f>IF(AND(F33&lt;&gt;"",COUNTIF($F$11:F32,F33)&gt;0),"",IFERROR(IF(COUNTIF(F$11:F$22,N33)&gt;0,"",IF(AND(N33&lt;&gt;"",SUMIFS(Cant!$I$2:$I$100,Cant!$M$2:$M$100,N33,Cant!$J$2:$J$100,"43/1.0")+SUMIFS(Cant!$I$2:$I$99,Cant!$M$2:$M$99,N33,Cant!$J$2:$J$99,"43/0.8")+SUMIFS(Cant!$I$2:$I$99,Cant!$M$2:$M$99,N33,Cant!$J$2:$J$99,"42/1.0")&gt;0),SUMIFS(Cant!$I$2:$I$100,Cant!$M$2:$M$100,N33,Cant!$J$2:$J$100,"43/1.0")+SUMIFS(Cant!$I$2:$I$99,Cant!$M$2:$M$99,N33,Cant!$J$2:$J$99,"43/0.8")+SUMIFS(Cant!$I$2:$I$99,Cant!$M$2:$M$99,N33,Cant!$J$2:$J$99,"42/1.0"),"")),""))</f>
        <v/>
      </c>
      <c r="P33" s="67" t="str">
        <f t="shared" si="4"/>
        <v/>
      </c>
      <c r="Q33" s="30" t="str">
        <f>IF(AND(F33&lt;&gt;"",COUNTIF($F$11:F32,F33)&gt;0),"",IFERROR(IF(COUNTIF(F$11:F$22,P33)&gt;0,"",IF(AND(P33&lt;&gt;"",SUMIFS(Cant!$I$2:$I$100,Cant!$M$2:$M$100,P33,Cant!$J$2:$J$100,"43/1.5")+SUMIFS(Cant!$I$2:$I$100,Cant!$M$2:$M$100,P33,Cant!$J$2:$J$100,"24/1.5")&gt;0),SUMIFS(Cant!$I$2:$I$100,Cant!$M$2:$M$100,P33,Cant!$J$2:$J$100,"43/1.5")+SUMIFS(Cant!$I$2:$I$100,Cant!$M$2:$M$100,P33,Cant!$J$2:$J$100,"24/1.5"),"")),""))</f>
        <v/>
      </c>
      <c r="R33" s="67" t="str">
        <f t="shared" si="5"/>
        <v/>
      </c>
      <c r="S33" s="30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167"/>
      <c r="B34" s="67" t="str" cm="1">
        <f t="array" ref="B34">IFERROR(_xlfn.SINGLE(INDEX(Deco!$Y$2:$Y$99,_xlfn.AGGREGATE(15,6,ROW(Deco!$Y$2:$Y$99)-ROW(Deco!$Y$2)+1/((Deco!$W$2:$W$99="Blat")+(Deco!$W$2:$W$99="LC")),3))),"")</f>
        <v/>
      </c>
      <c r="C34" s="109" t="str">
        <f>IF(D34="buc",IF(B34&lt;&gt;"",INDEX(Deco!$C$2:$C$99,MATCH(B34,Deco!$Y$2:$Y$99,0)),""),IF(B34&lt;&gt;"",INDEX(Deco!$V$2:$V$99,MATCH(B34,Deco!$Y$2:$Y$99,0)),""))</f>
        <v/>
      </c>
      <c r="D34" s="31" t="s">
        <v>54</v>
      </c>
      <c r="E34" s="2"/>
      <c r="F34" s="150" t="str" cm="1">
        <f t="array" ref="F34">IFERROR(INDEX(Cant!$M$2:$M$99,_xlfn.AGGREGATE(15,6,(ROW(Cant!$M$2:$M$99)-ROW(Cant!$M$2)+1)/((Cant!$M$2:$M$99&lt;&gt;"")*(COUNTIF($F$10:F33,Cant!$M$2:$M$99)=0)),1)),"")</f>
        <v/>
      </c>
      <c r="G34" s="81" t="str">
        <f>IF(AND(F34&lt;&gt;"",COUNTIF($F$11:F33,F34)&gt;0),"",
  IFERROR(
    IF(AND(F34&lt;&gt;"",
      SUMIFS(Cant!$I$2:$I$99,Cant!$M$2:$M$99,F34,Cant!$J$2:$J$99,"22/0.4")
      +SUMIFS(Cant!$I$2:$I$99,Cant!$M$2:$M$99,F34,Cant!$J$2:$J$99,"22/0.5")&gt;0),
      SUMIFS(Cant!$I$2:$I$99,Cant!$M$2:$M$99,F34,Cant!$J$2:$J$99,"22/0.4")
      +SUMIFS(Cant!$I$2:$I$99,Cant!$M$2:$M$99,F34,Cant!$J$2:$J$99,"22/0.5"),
    ""),
  ""))</f>
        <v/>
      </c>
      <c r="H34" s="85" t="str">
        <f t="shared" si="0"/>
        <v/>
      </c>
      <c r="I34" s="86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90" t="str">
        <f t="shared" si="1"/>
        <v/>
      </c>
      <c r="K34" s="91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95" t="str">
        <f t="shared" si="2"/>
        <v/>
      </c>
      <c r="M34" s="96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67" t="str">
        <f t="shared" si="3"/>
        <v/>
      </c>
      <c r="O34" s="30" t="str">
        <f>IF(AND(F34&lt;&gt;"",COUNTIF($F$11:F33,F34)&gt;0),"",IFERROR(IF(COUNTIF(F$11:F$22,N34)&gt;0,"",IF(AND(N34&lt;&gt;"",SUMIFS(Cant!$I$2:$I$100,Cant!$M$2:$M$100,N34,Cant!$J$2:$J$100,"43/1.0")+SUMIFS(Cant!$I$2:$I$99,Cant!$M$2:$M$99,N34,Cant!$J$2:$J$99,"43/0.8")+SUMIFS(Cant!$I$2:$I$99,Cant!$M$2:$M$99,N34,Cant!$J$2:$J$99,"42/1.0")&gt;0),SUMIFS(Cant!$I$2:$I$100,Cant!$M$2:$M$100,N34,Cant!$J$2:$J$100,"43/1.0")+SUMIFS(Cant!$I$2:$I$99,Cant!$M$2:$M$99,N34,Cant!$J$2:$J$99,"43/0.8")+SUMIFS(Cant!$I$2:$I$99,Cant!$M$2:$M$99,N34,Cant!$J$2:$J$99,"42/1.0"),"")),""))</f>
        <v/>
      </c>
      <c r="P34" s="67" t="str">
        <f t="shared" si="4"/>
        <v/>
      </c>
      <c r="Q34" s="30" t="str">
        <f>IF(AND(F34&lt;&gt;"",COUNTIF($F$11:F33,F34)&gt;0),"",IFERROR(IF(COUNTIF(F$11:F$22,P34)&gt;0,"",IF(AND(P34&lt;&gt;"",SUMIFS(Cant!$I$2:$I$100,Cant!$M$2:$M$100,P34,Cant!$J$2:$J$100,"43/1.5")+SUMIFS(Cant!$I$2:$I$100,Cant!$M$2:$M$100,P34,Cant!$J$2:$J$100,"24/1.5")&gt;0),SUMIFS(Cant!$I$2:$I$100,Cant!$M$2:$M$100,P34,Cant!$J$2:$J$100,"43/1.5")+SUMIFS(Cant!$I$2:$I$100,Cant!$M$2:$M$100,P34,Cant!$J$2:$J$100,"24/1.5"),"")),""))</f>
        <v/>
      </c>
      <c r="R34" s="67" t="str">
        <f t="shared" si="5"/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0" customFormat="1" ht="14.25" hidden="1" customHeight="1" thickBot="1">
      <c r="A35" s="55"/>
      <c r="B35" s="62"/>
      <c r="C35" s="48"/>
      <c r="D35" s="63"/>
      <c r="E35" s="48"/>
      <c r="F35" s="150"/>
      <c r="G35" s="81"/>
      <c r="H35" s="85" t="str">
        <f t="shared" si="0"/>
        <v/>
      </c>
      <c r="I35" s="86"/>
      <c r="J35" s="90" t="str">
        <f t="shared" si="1"/>
        <v/>
      </c>
      <c r="K35" s="91"/>
      <c r="L35" s="95" t="str">
        <f t="shared" si="2"/>
        <v/>
      </c>
      <c r="M35" s="96"/>
      <c r="N35" s="67" t="str">
        <f t="shared" si="3"/>
        <v/>
      </c>
      <c r="O35" s="157"/>
      <c r="P35" s="67" t="str">
        <f t="shared" si="4"/>
        <v/>
      </c>
      <c r="Q35" s="157"/>
      <c r="R35" s="67" t="str">
        <f t="shared" si="5"/>
        <v/>
      </c>
      <c r="S35" s="161"/>
    </row>
    <row r="36" spans="1:19">
      <c r="A36" s="165" t="s">
        <v>79</v>
      </c>
      <c r="B36" s="56" t="str" cm="1">
        <f t="array" ref="B36">IFERROR(_xlfn.SINGLE(INDEX(Deco!$Y$2:$Y$99,_xlfn.AGGREGATE(15,6,ROW(Deco!$Y$2:$Y$99)-ROW(Deco!$Y$2)+1/(Deco!$W$2:$W$99="PS"),1))),"")</f>
        <v/>
      </c>
      <c r="C36" s="58" t="str">
        <f>IF(D36="buc",IF(B36&lt;&gt;"",INDEX(Deco!$C$2:$C$99,MATCH(B36,Deco!$Y$2:$Y$99,0)),""),IF(B36&lt;&gt;"",INDEX(Deco!$V$2:$V$99,MATCH(B36,Deco!$Y$2:$Y$99,0)),""))</f>
        <v/>
      </c>
      <c r="D36" s="29" t="s">
        <v>54</v>
      </c>
      <c r="E36" s="2"/>
      <c r="F36" s="150" t="str" cm="1">
        <f t="array" ref="F36">IFERROR(INDEX(Cant!$M$2:$M$99,_xlfn.AGGREGATE(15,6,(ROW(Cant!$M$2:$M$99)-ROW(Cant!$M$2)+1)/((Cant!$M$2:$M$99&lt;&gt;"")*(COUNTIF($F$10:F35,Cant!$M$2:$M$99)=0)),1)),"")</f>
        <v/>
      </c>
      <c r="G36" s="81" t="str">
        <f>IF(AND(F36&lt;&gt;"",COUNTIF($F$11:F35,F36)&gt;0),"",
  IFERROR(
    IF(AND(F36&lt;&gt;"",
      SUMIFS(Cant!$I$2:$I$99,Cant!$M$2:$M$99,F36,Cant!$J$2:$J$99,"22/0.4")
      +SUMIFS(Cant!$I$2:$I$99,Cant!$M$2:$M$99,F36,Cant!$J$2:$J$99,"22/0.5")&gt;0),
      SUMIFS(Cant!$I$2:$I$99,Cant!$M$2:$M$99,F36,Cant!$J$2:$J$99,"22/0.4")
      +SUMIFS(Cant!$I$2:$I$99,Cant!$M$2:$M$99,F36,Cant!$J$2:$J$99,"22/0.5"),
    ""),
  ""))</f>
        <v/>
      </c>
      <c r="H36" s="85" t="str">
        <f t="shared" si="0"/>
        <v/>
      </c>
      <c r="I36" s="86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90" t="str">
        <f t="shared" si="1"/>
        <v/>
      </c>
      <c r="K36" s="9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95" t="str">
        <f t="shared" si="2"/>
        <v/>
      </c>
      <c r="M36" s="96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67" t="str">
        <f t="shared" si="3"/>
        <v/>
      </c>
      <c r="O36" s="30" t="str">
        <f>IF(AND(F36&lt;&gt;"",COUNTIF($F$11:F35,F36)&gt;0),"",IFERROR(IF(COUNTIF(H$11:H$22,N36)&gt;0,"",IF(AND(N36&lt;&gt;"",SUMIFS(Cant!$I$2:$I$100,Cant!$M$2:$M$100,N36,Cant!$J$2:$J$100,"43/1.0")+SUMIFS(Cant!$I$2:$I$99,Cant!$M$2:$M$99,N36,Cant!$J$2:$J$99,"43/0.8")+SUMIFS(Cant!$I$2:$I$99,Cant!$M$2:$M$99,N36,Cant!$J$2:$J$99,"42/1.0")&gt;0),SUMIFS(Cant!$I$2:$I$100,Cant!$M$2:$M$100,N36,Cant!$J$2:$J$100,"43/1.0")+SUMIFS(Cant!$I$2:$I$99,Cant!$M$2:$M$99,N36,Cant!$J$2:$J$99,"43/0.8")+SUMIFS(Cant!$I$2:$I$99,Cant!$M$2:$M$99,N36,Cant!$J$2:$J$99,"42/1.0"),"")),""))</f>
        <v/>
      </c>
      <c r="P36" s="67" t="str">
        <f t="shared" si="4"/>
        <v/>
      </c>
      <c r="Q36" s="30" t="str">
        <f>IF(AND(F36&lt;&gt;"",COUNTIF($F$11:F35,F36)&gt;0),"",IFERROR(IF(COUNTIF(F$11:F$22,P36)&gt;0,"",IF(AND(P36&lt;&gt;"",SUMIFS(Cant!$I$2:$I$100,Cant!$M$2:$M$100,P36,Cant!$J$2:$J$100,"43/1.5")+SUMIFS(Cant!$I$2:$I$100,Cant!$M$2:$M$100,P36,Cant!$J$2:$J$100,"24/1.5")&gt;0),SUMIFS(Cant!$I$2:$I$100,Cant!$M$2:$M$100,P36,Cant!$J$2:$J$100,"43/1.5")+SUMIFS(Cant!$I$2:$I$100,Cant!$M$2:$M$100,P36,Cant!$J$2:$J$100,"24/1.5"),"")),""))</f>
        <v/>
      </c>
      <c r="R36" s="67" t="str">
        <f t="shared" si="5"/>
        <v/>
      </c>
      <c r="S36" s="30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166"/>
      <c r="B37" s="67" t="str" cm="1">
        <f t="array" ref="B37">IFERROR(_xlfn.SINGLE(INDEX(Deco!$Y$2:$Y$99,_xlfn.AGGREGATE(15,6,ROW(Deco!$Y$2:$Y$99)-ROW(Deco!$Y$2)+1/(Deco!$W$2:$W$99="PS"),2))),"")</f>
        <v/>
      </c>
      <c r="C37" s="109" t="str">
        <f>IF(D37="buc",IF(B37&lt;&gt;"",INDEX(Deco!$C$2:$C$99,MATCH(B37,Deco!$Y$2:$Y$99,0)),""),IF(B37&lt;&gt;"",INDEX(Deco!$V$2:$V$99,MATCH(B37,Deco!$Y$2:$Y$99,0)),""))</f>
        <v/>
      </c>
      <c r="D37" s="30" t="s">
        <v>54</v>
      </c>
      <c r="E37" s="2"/>
      <c r="F37" s="150" t="str" cm="1">
        <f t="array" ref="F37">IFERROR(INDEX(Cant!$M$2:$M$99,_xlfn.AGGREGATE(15,6,(ROW(Cant!$M$2:$M$99)-ROW(Cant!$M$2)+1)/((Cant!$M$2:$M$99&lt;&gt;"")*(COUNTIF($F$10:F36,Cant!$M$2:$M$99)=0)),1)),"")</f>
        <v/>
      </c>
      <c r="G37" s="81" t="str">
        <f>IF(AND(F37&lt;&gt;"",COUNTIF($F$11:F36,F37)&gt;0),"",
  IFERROR(
    IF(AND(F37&lt;&gt;"",
      SUMIFS(Cant!$I$2:$I$99,Cant!$M$2:$M$99,F37,Cant!$J$2:$J$99,"22/0.4")
      +SUMIFS(Cant!$I$2:$I$99,Cant!$M$2:$M$99,F37,Cant!$J$2:$J$99,"22/0.5")&gt;0),
      SUMIFS(Cant!$I$2:$I$99,Cant!$M$2:$M$99,F37,Cant!$J$2:$J$99,"22/0.4")
      +SUMIFS(Cant!$I$2:$I$99,Cant!$M$2:$M$99,F37,Cant!$J$2:$J$99,"22/0.5"),
    ""),
  ""))</f>
        <v/>
      </c>
      <c r="H37" s="85" t="str">
        <f t="shared" si="0"/>
        <v/>
      </c>
      <c r="I37" s="86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90" t="str">
        <f t="shared" si="1"/>
        <v/>
      </c>
      <c r="K37" s="91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95" t="str">
        <f t="shared" si="2"/>
        <v/>
      </c>
      <c r="M37" s="96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67" t="str">
        <f t="shared" si="3"/>
        <v/>
      </c>
      <c r="O37" s="30" t="str">
        <f>IF(AND(F37&lt;&gt;"",COUNTIF($F$11:F36,F37)&gt;0),"",IFERROR(IF(COUNTIF(H$11:H$22,N37)&gt;0,"",IF(AND(N37&lt;&gt;"",SUMIFS(Cant!$I$2:$I$100,Cant!$M$2:$M$100,N37,Cant!$J$2:$J$100,"43/1.0")+SUMIFS(Cant!$I$2:$I$99,Cant!$M$2:$M$99,N37,Cant!$J$2:$J$99,"43/0.8")+SUMIFS(Cant!$I$2:$I$99,Cant!$M$2:$M$99,N37,Cant!$J$2:$J$99,"42/1.0")&gt;0),SUMIFS(Cant!$I$2:$I$100,Cant!$M$2:$M$100,N37,Cant!$J$2:$J$100,"43/1.0")+SUMIFS(Cant!$I$2:$I$99,Cant!$M$2:$M$99,N37,Cant!$J$2:$J$99,"43/0.8")+SUMIFS(Cant!$I$2:$I$99,Cant!$M$2:$M$99,N37,Cant!$J$2:$J$99,"42/1.0"),"")),""))</f>
        <v/>
      </c>
      <c r="P37" s="67" t="str">
        <f t="shared" si="4"/>
        <v/>
      </c>
      <c r="Q37" s="30" t="str">
        <f>IF(AND(F37&lt;&gt;"",COUNTIF($F$11:F36,F37)&gt;0),"",IFERROR(IF(COUNTIF(F$11:F$22,P37)&gt;0,"",IF(AND(P37&lt;&gt;"",SUMIFS(Cant!$I$2:$I$100,Cant!$M$2:$M$100,P37,Cant!$J$2:$J$100,"43/1.5")+SUMIFS(Cant!$I$2:$I$100,Cant!$M$2:$M$100,P37,Cant!$J$2:$J$100,"24/1.5")&gt;0),SUMIFS(Cant!$I$2:$I$100,Cant!$M$2:$M$100,P37,Cant!$J$2:$J$100,"43/1.5")+SUMIFS(Cant!$I$2:$I$100,Cant!$M$2:$M$100,P37,Cant!$J$2:$J$100,"24/1.5"),"")),""))</f>
        <v/>
      </c>
      <c r="R37" s="67" t="str">
        <f t="shared" si="5"/>
        <v/>
      </c>
      <c r="S37" s="30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167"/>
      <c r="B38" s="68" t="str" cm="1">
        <f t="array" ref="B38">IFERROR(_xlfn.SINGLE(INDEX(Deco!$Y$2:$Y$99,_xlfn.AGGREGATE(15,6,ROW(Deco!$Y$2:$Y$99)-ROW(Deco!$Y$2)+1/(Deco!$W$2:$W$99="PS"),3))),"")</f>
        <v/>
      </c>
      <c r="C38" s="109" t="str">
        <f>IF(D38="buc",IF(B38&lt;&gt;"",INDEX(Deco!$C$2:$C$99,MATCH(B38,Deco!$Y$2:$Y$99,0)),""),IF(B38&lt;&gt;"",INDEX(Deco!$V$2:$V$99,MATCH(B38,Deco!$Y$2:$Y$99,0)),""))</f>
        <v/>
      </c>
      <c r="D38" s="31" t="s">
        <v>54</v>
      </c>
      <c r="E38" s="2"/>
      <c r="F38" s="144" t="str" cm="1">
        <f t="array" ref="F38">IFERROR(INDEX(Cant!$M$2:$M$99,_xlfn.AGGREGATE(15,6,(ROW(Cant!$M$2:$M$99)-ROW(Cant!$M$2)+1)/((Cant!$M$2:$M$99&lt;&gt;"")*(COUNTIF($F$10:F37,Cant!$M$2:$M$99)=0)),1)),"")</f>
        <v/>
      </c>
      <c r="G38" s="111" t="str">
        <f>IF(AND(F38&lt;&gt;"",COUNTIF($F$11:F37,F38)&gt;0),"",
  IFERROR(
    IF(AND(F37&lt;&gt;"",
      SUMIFS(Cant!$I$2:$I$99,Cant!$M$2:$M$99,F38,Cant!$J$2:$J$99,"22/0.4")
      +SUMIFS(Cant!$I$2:$I$99,Cant!$M$2:$M$99,F38,Cant!$J$2:$J$99,"22/0.5")&gt;0),
      SUMIFS(Cant!$I$2:$I$99,Cant!$M$2:$M$99,F38,Cant!$J$2:$J$99,"22/0.4")
      +SUMIFS(Cant!$I$2:$I$99,Cant!$M$2:$M$99,F38,Cant!$J$2:$J$99,"22/0.5"),
    ""),
  ""))</f>
        <v/>
      </c>
      <c r="H38" s="88" t="str">
        <f t="shared" si="0"/>
        <v/>
      </c>
      <c r="I38" s="112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93" t="str">
        <f t="shared" si="1"/>
        <v/>
      </c>
      <c r="K38" s="11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98" t="str">
        <f t="shared" si="2"/>
        <v/>
      </c>
      <c r="M38" s="11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68" t="str">
        <f t="shared" si="3"/>
        <v/>
      </c>
      <c r="O38" s="31" t="str">
        <f>IF(AND(F38&lt;&gt;"",COUNTIF($F$11:F37,F38)&gt;0),"",IFERROR(IF(COUNTIF(H$11:H$22,N38)&gt;0,"",IF(AND(N38&lt;&gt;"",SUMIFS(Cant!$I$2:$I$100,Cant!$M$2:$M$100,N38,Cant!$J$2:$J$100,"43/1.0")+SUMIFS(Cant!$I$2:$I$99,Cant!$M$2:$M$99,N38,Cant!$J$2:$J$99,"43/0.8")+SUMIFS(Cant!$I$2:$I$99,Cant!$M$2:$M$99,N38,Cant!$J$2:$J$99,"42/1.0")&gt;0),SUMIFS(Cant!$I$2:$I$100,Cant!$M$2:$M$100,N38,Cant!$J$2:$J$100,"43/1.0")+SUMIFS(Cant!$I$2:$I$99,Cant!$M$2:$M$99,N38,Cant!$J$2:$J$99,"43/0.8")+SUMIFS(Cant!$I$2:$I$99,Cant!$M$2:$M$99,N38,Cant!$J$2:$J$99,"42/1.0"),"")),""))</f>
        <v/>
      </c>
      <c r="P38" s="68" t="str">
        <f t="shared" si="4"/>
        <v/>
      </c>
      <c r="Q38" s="31" t="str">
        <f>IF(AND(F38&lt;&gt;"",COUNTIF($F$11:F37,F38)&gt;0),"",IFERROR(IF(COUNTIF(F$11:F$22,P38)&gt;0,"",IF(AND(P38&lt;&gt;"",SUMIFS(Cant!$I$2:$I$100,Cant!$M$2:$M$100,P38,Cant!$J$2:$J$100,"43/1.5")+SUMIFS(Cant!$I$2:$I$100,Cant!$M$2:$M$100,P38,Cant!$J$2:$J$100,"24/1.5")&gt;0),SUMIFS(Cant!$I$2:$I$100,Cant!$M$2:$M$100,P38,Cant!$J$2:$J$100,"43/1.5")+SUMIFS(Cant!$I$2:$I$100,Cant!$M$2:$M$100,P38,Cant!$J$2:$J$100,"24/1.5"),"")),""))</f>
        <v/>
      </c>
      <c r="R38" s="68" t="str">
        <f t="shared" si="5"/>
        <v/>
      </c>
      <c r="S38" s="31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1"/>
    </row>
    <row r="40" spans="1:19" ht="15.75" thickBot="1">
      <c r="A40" s="175" t="s">
        <v>50</v>
      </c>
      <c r="B40" s="32" t="s">
        <v>67</v>
      </c>
      <c r="C40" s="32" t="s">
        <v>71</v>
      </c>
      <c r="D40" s="18" t="s">
        <v>51</v>
      </c>
      <c r="F40" s="172" t="s">
        <v>72</v>
      </c>
      <c r="G40" s="173"/>
      <c r="H40" s="173"/>
      <c r="I40" s="173"/>
      <c r="J40" s="173"/>
      <c r="K40" s="173"/>
      <c r="L40" s="173"/>
      <c r="M40" s="173"/>
      <c r="N40" s="173"/>
      <c r="O40" s="173"/>
      <c r="P40" s="173"/>
      <c r="Q40" s="173"/>
      <c r="R40" s="173"/>
      <c r="S40" s="174"/>
    </row>
    <row r="41" spans="1:19" ht="15.75" thickBot="1">
      <c r="A41" s="176"/>
      <c r="B41" s="35" t="s">
        <v>81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0" t="s">
        <v>53</v>
      </c>
      <c r="E41" s="2"/>
      <c r="F41" s="72" t="s">
        <v>28</v>
      </c>
      <c r="G41" s="57">
        <f>SUM(G11:G29)+SUM(G32:G38)</f>
        <v>0</v>
      </c>
      <c r="H41" s="51" t="s">
        <v>29</v>
      </c>
      <c r="I41" s="57">
        <f>SUM(I11:I29)+SUM(I32:I38)</f>
        <v>0</v>
      </c>
      <c r="J41" s="26" t="s">
        <v>16</v>
      </c>
      <c r="K41" s="57">
        <f>SUM(K11:K29)+SUM(K32:K38)</f>
        <v>0</v>
      </c>
      <c r="L41" s="19" t="s">
        <v>19</v>
      </c>
      <c r="M41" s="57">
        <f>SUM(M11:M29)+SUM(M32:M38)</f>
        <v>0</v>
      </c>
      <c r="N41" s="46" t="s">
        <v>80</v>
      </c>
      <c r="O41" s="57">
        <f>SUM(O11:O29)+SUM(O32:O38)</f>
        <v>0</v>
      </c>
      <c r="P41" s="45" t="s">
        <v>68</v>
      </c>
      <c r="Q41" s="57">
        <f>SUM(Q11:Q29)+SUM(Q32:Q38)</f>
        <v>0</v>
      </c>
      <c r="R41" s="46" t="s">
        <v>18</v>
      </c>
      <c r="S41" s="57">
        <f>SUM(S11:S29)+SUM(S32:S38)</f>
        <v>0</v>
      </c>
    </row>
    <row r="42" spans="1:19" ht="15.75" thickBot="1">
      <c r="A42" s="176"/>
      <c r="B42" s="49" t="s">
        <v>88</v>
      </c>
      <c r="C42" s="37" t="str">
        <f>IF(SUMIF(Taiere!I2:I99,"CLEAF",Taiere!C2:C99)=0,"",(SUMIF(Taiere!I2:I99,"CLEAF",Taiere!C2:C99)))</f>
        <v/>
      </c>
      <c r="D42" s="71" t="s">
        <v>53</v>
      </c>
      <c r="E42" s="2"/>
      <c r="F42" s="64"/>
      <c r="G42" s="78"/>
      <c r="H42" s="65"/>
      <c r="I42" s="78"/>
      <c r="J42" s="66"/>
      <c r="K42" s="78"/>
      <c r="L42" s="65"/>
      <c r="M42" s="78"/>
      <c r="N42" s="66"/>
      <c r="O42" s="78"/>
      <c r="P42" s="66"/>
      <c r="Q42" s="78"/>
      <c r="R42" s="79"/>
      <c r="S42" s="179">
        <f>IF(COUNTIF(Deco!AA2:AA34,"Vezi EK")&gt;0,0,1)</f>
        <v>1</v>
      </c>
    </row>
    <row r="43" spans="1:19" ht="15.75" thickBot="1">
      <c r="A43" s="176"/>
      <c r="B43" s="49" t="s">
        <v>82</v>
      </c>
      <c r="C43" s="30" t="str">
        <f>IF(SUMIF(B32:B34, "*/600", C32:C34) + SUMIF(B32:B34, "*/650", C32:C34)=0, "",SUMIF(B32:B34, "*/600", C32:C34) + SUMIF(B32:B34, "*/650", C32:C34))</f>
        <v/>
      </c>
      <c r="D43" s="71" t="s">
        <v>54</v>
      </c>
      <c r="E43" s="2"/>
      <c r="F43" s="233" t="str">
        <f>IF(COUNTIF(Deco!AA2:AA34,"Vezi EK")&gt;0,"Atentie! Verifica EK dublaje","Nr. Piese Dublaje")</f>
        <v>Nr. Piese Dublaje</v>
      </c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180"/>
    </row>
    <row r="44" spans="1:19">
      <c r="A44" s="176"/>
      <c r="B44" s="49" t="s">
        <v>87</v>
      </c>
      <c r="C44" s="30" t="str">
        <f>IF(SUMIF(B32:B34, "*/920", C32:C34)=0, "",SUMIF(B32:B34, "*/920", C32:C34))</f>
        <v/>
      </c>
      <c r="D44" s="71" t="s">
        <v>54</v>
      </c>
      <c r="E44" s="2"/>
      <c r="F44" s="24" t="s">
        <v>63</v>
      </c>
      <c r="G44" s="25" t="s">
        <v>71</v>
      </c>
      <c r="H44" s="24" t="s">
        <v>63</v>
      </c>
      <c r="I44" s="25" t="s">
        <v>71</v>
      </c>
      <c r="J44" s="34" t="s">
        <v>63</v>
      </c>
      <c r="K44" s="25" t="s">
        <v>71</v>
      </c>
      <c r="L44" s="34" t="s">
        <v>63</v>
      </c>
      <c r="M44" s="25" t="s">
        <v>71</v>
      </c>
      <c r="N44" s="34" t="s">
        <v>63</v>
      </c>
      <c r="O44" s="25" t="s">
        <v>71</v>
      </c>
      <c r="P44" s="34" t="s">
        <v>63</v>
      </c>
      <c r="Q44" s="25" t="s">
        <v>71</v>
      </c>
      <c r="R44" s="34" t="s">
        <v>63</v>
      </c>
      <c r="S44" s="25" t="s">
        <v>71</v>
      </c>
    </row>
    <row r="45" spans="1:19" ht="15.75" thickBot="1">
      <c r="A45" s="176"/>
      <c r="B45" s="33" t="s">
        <v>89</v>
      </c>
      <c r="C45" s="30" t="str">
        <f>IF(SUM(C36:C38)=0,"",SUM(C36:C38))</f>
        <v/>
      </c>
      <c r="D45" s="71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68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68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68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68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68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176"/>
      <c r="B46" s="33" t="s">
        <v>83</v>
      </c>
      <c r="C46" s="30" t="str">
        <f>IF(B30&lt;&gt;"",INDEX(Deco!$C$2:$C$99,MATCH(B30,Deco!$Y$2:$Y$99,0)),"")</f>
        <v/>
      </c>
      <c r="D46" s="71" t="s">
        <v>54</v>
      </c>
      <c r="E46" s="2"/>
    </row>
    <row r="47" spans="1:19">
      <c r="A47" s="176"/>
      <c r="B47" s="33" t="s">
        <v>84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1" t="s">
        <v>53</v>
      </c>
      <c r="F47" s="179" t="s">
        <v>34</v>
      </c>
      <c r="G47" s="221" t="str">
        <f>IF(I6="PLAN M",SUM(C11:C28), "N/A")</f>
        <v>N/A</v>
      </c>
      <c r="J47" s="179" t="s">
        <v>86</v>
      </c>
      <c r="K47" s="219">
        <v>1</v>
      </c>
      <c r="N47" s="179" t="s">
        <v>108</v>
      </c>
      <c r="O47" s="182"/>
      <c r="P47" s="183"/>
      <c r="R47" s="179" t="s">
        <v>114</v>
      </c>
      <c r="S47" s="179"/>
    </row>
    <row r="48" spans="1:19" ht="15.75" thickBot="1">
      <c r="A48" s="178"/>
      <c r="B48" s="36" t="s">
        <v>85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69" t="s">
        <v>54</v>
      </c>
      <c r="F48" s="181"/>
      <c r="G48" s="222"/>
      <c r="J48" s="181"/>
      <c r="K48" s="220"/>
      <c r="N48" s="180"/>
      <c r="O48" s="184"/>
      <c r="P48" s="185"/>
      <c r="R48" s="180"/>
      <c r="S48" s="181"/>
    </row>
    <row r="49" spans="1:19" ht="2.1" hidden="1" customHeight="1">
      <c r="A49" s="40"/>
      <c r="B49" s="41"/>
      <c r="C49" s="1"/>
      <c r="D49" s="2"/>
    </row>
    <row r="50" spans="1:19">
      <c r="A50" s="162" t="s">
        <v>65</v>
      </c>
      <c r="B50" s="134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6"/>
    </row>
    <row r="51" spans="1:19">
      <c r="A51" s="163"/>
      <c r="B51" s="137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8"/>
    </row>
    <row r="52" spans="1:19">
      <c r="A52" s="163"/>
      <c r="B52" s="137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8"/>
    </row>
    <row r="53" spans="1:19">
      <c r="A53" s="163"/>
      <c r="B53" s="137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8"/>
    </row>
    <row r="54" spans="1:19">
      <c r="A54" s="163"/>
      <c r="B54" s="137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8"/>
    </row>
    <row r="55" spans="1:19">
      <c r="A55" s="163"/>
      <c r="B55" s="137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8"/>
    </row>
    <row r="56" spans="1:19">
      <c r="A56" s="163"/>
      <c r="B56" s="137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8"/>
    </row>
    <row r="57" spans="1:19">
      <c r="A57" s="163"/>
      <c r="B57" s="137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8"/>
    </row>
    <row r="58" spans="1:19">
      <c r="A58" s="163"/>
      <c r="B58" s="140"/>
      <c r="S58" s="141"/>
    </row>
    <row r="59" spans="1:19">
      <c r="A59" s="163"/>
      <c r="B59" s="140"/>
      <c r="S59" s="141"/>
    </row>
    <row r="60" spans="1:19">
      <c r="A60" s="163"/>
      <c r="B60" s="140"/>
      <c r="S60" s="141"/>
    </row>
    <row r="61" spans="1:19">
      <c r="A61" s="163"/>
      <c r="B61" s="140"/>
      <c r="S61" s="141"/>
    </row>
    <row r="62" spans="1:19">
      <c r="A62" s="163"/>
      <c r="B62" s="140"/>
      <c r="S62" s="141"/>
    </row>
    <row r="63" spans="1:19">
      <c r="A63" s="163"/>
      <c r="B63" s="140"/>
      <c r="S63" s="141"/>
    </row>
    <row r="64" spans="1:19">
      <c r="A64" s="163"/>
      <c r="B64" s="140"/>
      <c r="S64" s="141"/>
    </row>
    <row r="65" spans="1:19">
      <c r="A65" s="163"/>
      <c r="B65" s="140"/>
      <c r="S65" s="141"/>
    </row>
    <row r="66" spans="1:19">
      <c r="A66" s="163"/>
      <c r="B66" s="140"/>
      <c r="S66" s="141"/>
    </row>
    <row r="67" spans="1:19">
      <c r="A67" s="163"/>
      <c r="B67" s="140"/>
      <c r="S67" s="141"/>
    </row>
    <row r="68" spans="1:19" ht="15.75" thickBot="1">
      <c r="A68" s="164"/>
      <c r="B68" s="142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143"/>
    </row>
  </sheetData>
  <mergeCells count="41"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</mergeCells>
  <phoneticPr fontId="10" type="noConversion"/>
  <pageMargins left="0.7" right="0.7" top="0.75" bottom="0.75" header="0.3" footer="0.3"/>
  <pageSetup paperSize="9" scale="54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2"/>
  <sheetViews>
    <sheetView workbookViewId="0">
      <selection activeCell="A87" sqref="A87"/>
    </sheetView>
  </sheetViews>
  <sheetFormatPr defaultRowHeight="15"/>
  <cols>
    <col min="1" max="1" width="21" bestFit="1" customWidth="1"/>
    <col min="4" max="4" width="18.7109375" bestFit="1" customWidth="1"/>
    <col min="5" max="5" width="9.140625" style="102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02" t="str" cm="1">
        <f t="array" ref="E2">IF(Fisa!I3="Debitare căntuire",IF(LEFT(Fisa!B11,3)="AGT",B2*3.416, IF(OR(RIGHT(Fisa!B11,1)={"0","1","2","3","4","5","6","7","8","9"},RIGHT(Fisa!B11,2)="SM",RIGHT(Fisa!B11,2)="PM",RIGHT(Fisa!B11,2)="PG",RIGHT(Fisa!B11,2)="mm",,RIGHT(Fisa!B11,2)="PG",RIGHT(Fisa!B11,2)="3D"), B2*5.796, B2)),B2)</f>
        <v/>
      </c>
      <c r="F2" t="s">
        <v>52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02" t="str" cm="1">
        <f t="array" ref="E3">IF(Fisa!I3="Debitare căntuire",IF(LEFT(Fisa!B12,3)="AGT",B3*3.416, IF(OR(RIGHT(Fisa!B12,1)={"0","1","2","3","4","5","6","7","8","9"},RIGHT(Fisa!B12,2)="SM",RIGHT(Fisa!B12,2)="PM",RIGHT(Fisa!B12,2)="PG",RIGHT(Fisa!B12,2)="mm",,RIGHT(Fisa!B12,2)="PG",RIGHT(Fisa!B12,2)="3D"), B3*5.796, B3)),B3)</f>
        <v/>
      </c>
      <c r="F3" t="s">
        <v>52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02" t="str" cm="1">
        <f t="array" ref="E4">IF(Fisa!I3="Debitare căntuire",IF(LEFT(Fisa!B13,3)="AGT",B4*3.416, IF(OR(RIGHT(Fisa!B13,1)={"0","1","2","3","4","5","6","7","8","9"},RIGHT(Fisa!B13,2)="SM",RIGHT(Fisa!B13,2)="PM",RIGHT(Fisa!B13,2)="PG",RIGHT(Fisa!B13,2)="mm",,RIGHT(Fisa!B13,2)="PG",RIGHT(Fisa!B13,2)="3D"), B4*5.796, B4)),B4)</f>
        <v/>
      </c>
      <c r="F4" t="s">
        <v>52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02" t="str" cm="1">
        <f t="array" ref="E5">IF(Fisa!I3="Debitare căntuire",IF(LEFT(Fisa!B14,3)="AGT",B5*3.416, IF(OR(RIGHT(Fisa!B14,1)={"0","1","2","3","4","5","6","7","8","9"},RIGHT(Fisa!B14,2)="SM",RIGHT(Fisa!B14,2)="PM",RIGHT(Fisa!B14,2)="PG",RIGHT(Fisa!B14,2)="mm",,RIGHT(Fisa!B14,2)="PG",RIGHT(Fisa!B14,2)="3D"), B5*5.796, B5)),B5)</f>
        <v/>
      </c>
      <c r="F5" t="s">
        <v>52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02" t="str" cm="1">
        <f t="array" ref="E6">IF(Fisa!I3="Debitare căntuire",IF(LEFT(Fisa!B15,3)="AGT",B6*3.416, IF(OR(RIGHT(Fisa!B15,1)={"0","1","2","3","4","5","6","7","8","9"},RIGHT(Fisa!B15,2)="SM",RIGHT(Fisa!B15,2)="PM",RIGHT(Fisa!B15,2)="PG",RIGHT(Fisa!B15,2)="mm",,RIGHT(Fisa!B15,2)="PG",RIGHT(Fisa!B15,2)="3D"), B6*5.796, B6)),B6)</f>
        <v/>
      </c>
      <c r="F6" t="s">
        <v>52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02" t="str" cm="1">
        <f t="array" ref="E7">IF(Fisa!I3="Debitare căntuire",IF(LEFT(Fisa!B16,3)="AGT",B7*3.416, IF(OR(RIGHT(Fisa!B16,1)={"0","1","2","3","4","5","6","7","8","9"},RIGHT(Fisa!B16,2)="SM",RIGHT(Fisa!B16,2)="PM",RIGHT(Fisa!B16,2)="PG",RIGHT(Fisa!B16,2)="mm",,RIGHT(Fisa!B16,2)="PG",RIGHT(Fisa!B16,2)="3D"), B7*5.796, B7)),B7)</f>
        <v/>
      </c>
      <c r="F7" t="s">
        <v>52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02" t="str" cm="1">
        <f t="array" ref="E8">IF(Fisa!I3="Debitare căntuire",IF(LEFT(Fisa!B17,3)="AGT",B8*3.416, IF(OR(RIGHT(Fisa!B17,1)={"0","1","2","3","4","5","6","7","8","9"},RIGHT(Fisa!B17,2)="SM",RIGHT(Fisa!B17,2)="PM",RIGHT(Fisa!B17,2)="PG",RIGHT(Fisa!B17,2)="mm",,RIGHT(Fisa!B17,2)="PG",RIGHT(Fisa!B17,2)="3D"), B8*5.796, B8)),B8)</f>
        <v/>
      </c>
      <c r="F8" t="s">
        <v>52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02" t="str" cm="1">
        <f t="array" ref="E9">IF(Fisa!I3="Debitare căntuire",IF(LEFT(Fisa!B18,3)="AGT",B9*3.416, IF(OR(RIGHT(Fisa!B18,1)={"0","1","2","3","4","5","6","7","8","9"},RIGHT(Fisa!B18,2)="SM",RIGHT(Fisa!B18,2)="PM",RIGHT(Fisa!B18,2)="PG",RIGHT(Fisa!B18,2)="mm",,RIGHT(Fisa!B18,2)="PG",RIGHT(Fisa!B18,2)="3D"), B9*5.796, B9)),B9)</f>
        <v/>
      </c>
      <c r="F9" t="s">
        <v>52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02" t="str" cm="1">
        <f t="array" ref="E10">IF(Fisa!I3="Debitare căntuire",IF(LEFT(Fisa!B19,3)="AGT",B10*3.416, IF(OR(RIGHT(Fisa!B19,1)={"0","1","2","3","4","5","6","7","8","9"},RIGHT(Fisa!B19,2)="SM",RIGHT(Fisa!B19,2)="PM",RIGHT(Fisa!B19,2)="PG",RIGHT(Fisa!B19,2)="mm",,RIGHT(Fisa!B19,2)="PG",RIGHT(Fisa!B19,2)="3D"), B10*5.796, B10)),B10)</f>
        <v/>
      </c>
      <c r="F10" t="s">
        <v>52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02" t="str" cm="1">
        <f t="array" ref="E11">IF(Fisa!I3="Debitare căntuire",IF(LEFT(Fisa!B20,3)="AGT",B11*3.416, IF(OR(RIGHT(Fisa!B20,1)={"0","1","2","3","4","5","6","7","8","9"},RIGHT(Fisa!B20,2)="SM",RIGHT(Fisa!B20,2)="PM",RIGHT(Fisa!B20,2)="PG",RIGHT(Fisa!B20,2)="mm",,RIGHT(Fisa!B20,2)="PG",RIGHT(Fisa!B20,2)="3D"), B11*5.796, B11)),B11)</f>
        <v/>
      </c>
      <c r="F11" t="s">
        <v>52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02" t="str" cm="1">
        <f t="array" ref="E12">IF(Fisa!I3="Debitare căntuire",IF(LEFT(Fisa!B21,3)="AGT",B12*3.416, IF(OR(RIGHT(Fisa!B21,1)={"0","1","2","3","4","5","6","7","8","9"},RIGHT(Fisa!B21,2)="SM",RIGHT(Fisa!B21,2)="PM",RIGHT(Fisa!B21,2)="PG",RIGHT(Fisa!B21,2)="mm",,RIGHT(Fisa!B21,2)="PG",RIGHT(Fisa!B21,2)="3D"), B12*5.796, B12)),B12)</f>
        <v/>
      </c>
      <c r="F12" t="s">
        <v>52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02" t="str" cm="1">
        <f t="array" ref="E13">IF(Fisa!I3="Debitare căntuire",IF(LEFT(Fisa!B22,3)="AGT",B13*3.416, IF(OR(RIGHT(Fisa!B22,1)={"0","1","2","3","4","5","6","7","8","9"},RIGHT(Fisa!B22,2)="SM",RIGHT(Fisa!B22,2)="PM",RIGHT(Fisa!B22,2)="PG",RIGHT(Fisa!B22,2)="mm",,RIGHT(Fisa!B22,2)="PG",RIGHT(Fisa!B22,2)="3D"), B13*5.796, B13)),B13)</f>
        <v/>
      </c>
      <c r="F13" t="s">
        <v>52</v>
      </c>
    </row>
    <row r="14" spans="1:6">
      <c r="A14" t="str">
        <f>IF(Fisa!B24="","",IF(RIGHT(Fisa!B24,2)="3D",Fisa!B24,"MDF "&amp;Fisa!B24))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02" t="str" cm="1">
        <f t="array" ref="E14">IF(Fisa!I3="Debitare căntuire",IF(LEFT(Fisa!B24,3)="AGT",B14*3.416, IF(OR(RIGHT(Fisa!B24,1)={"0","1","2","3","4","5","6","7","8","9"},RIGHT(Fisa!B24,2)="SM",RIGHT(Fisa!B24,2)="PM",RIGHT(Fisa!B24,2)="PG",RIGHT(Fisa!B24,2)="mm",,RIGHT(Fisa!B24,2)="PG",RIGHT(Fisa!B24,2)="3D"), B14*5.796, B14)),B14)</f>
        <v/>
      </c>
      <c r="F14" t="s">
        <v>52</v>
      </c>
    </row>
    <row r="15" spans="1:6">
      <c r="A15" t="str">
        <f>IF(Fisa!B25="","",IF(RIGHT(Fisa!B25,2)="3D",Fisa!B25,"MDF "&amp;Fisa!B25))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02" t="str" cm="1">
        <f t="array" ref="E15">IF(Fisa!I3="Debitare căntuire",IF(LEFT(Fisa!B25,3)="AGT",B15*3.416, IF(OR(RIGHT(Fisa!B25,1)={"0","1","2","3","4","5","6","7","8","9"},RIGHT(Fisa!B25,2)="SM",RIGHT(Fisa!B25,2)="PM",RIGHT(Fisa!B25,2)="PG",RIGHT(Fisa!B25,2)="mm",,RIGHT(Fisa!B25,2)="PG",RIGHT(Fisa!B25,2)="3D"), B15*5.796, B15)),B15)</f>
        <v/>
      </c>
      <c r="F15" t="s">
        <v>52</v>
      </c>
    </row>
    <row r="16" spans="1:6">
      <c r="A16" t="str">
        <f>IF(Fisa!B26="","",IF(RIGHT(Fisa!B26,2)="3D",Fisa!B26,"MDF "&amp;Fisa!B26))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02" t="str" cm="1">
        <f t="array" ref="E16">IF(Fisa!I3="Debitare căntuire",IF(LEFT(Fisa!B26,3)="AGT",B16*3.416, IF(OR(RIGHT(Fisa!B26,1)={"0","1","2","3","4","5","6","7","8","9"},RIGHT(Fisa!B26,2)="SM",RIGHT(Fisa!B26,2)="PM",RIGHT(Fisa!B26,2)="PG",RIGHT(Fisa!B26,2)="mm",,RIGHT(Fisa!B26,2)="PG",RIGHT(Fisa!B26,2)="3D"), B16*5.796, B16)),B16)</f>
        <v/>
      </c>
      <c r="F16" t="s">
        <v>52</v>
      </c>
    </row>
    <row r="17" spans="1:6">
      <c r="A17" t="str">
        <f>IF(Fisa!B27="","",IF(RIGHT(Fisa!B27,2)="3D",Fisa!B27,"MDF "&amp;Fisa!B27))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02" t="str" cm="1">
        <f t="array" ref="E17">IF(Fisa!I3="Debitare căntuire",IF(LEFT(Fisa!B27,3)="AGT",B17*3.416, IF(OR(RIGHT(Fisa!B27,1)={"0","1","2","3","4","5","6","7","8","9"},RIGHT(Fisa!B27,2)="SM",RIGHT(Fisa!B27,2)="PM",RIGHT(Fisa!B27,2)="PG",RIGHT(Fisa!B27,2)="mm",,RIGHT(Fisa!B27,2)="PG",RIGHT(Fisa!B27,2)="3D"), B17*5.796, B17)),B17)</f>
        <v/>
      </c>
      <c r="F17" t="s">
        <v>52</v>
      </c>
    </row>
    <row r="18" spans="1:6">
      <c r="A18" t="str">
        <f>IF(Fisa!B28="","",IF(RIGHT(Fisa!B28,2)="3D",Fisa!B28,"MDF "&amp;Fisa!B28))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02" t="str" cm="1">
        <f t="array" ref="E18">IF(Fisa!I3="Debitare căntuire",IF(LEFT(Fisa!B28,3)="AGT",B18*3.416, IF(OR(RIGHT(Fisa!B28,1)={"0","1","2","3","4","5","6","7","8","9"},RIGHT(Fisa!B28,2)="SM",RIGHT(Fisa!B28,2)="PM",RIGHT(Fisa!B28,2)="PG",RIGHT(Fisa!B28,2)="mm",,RIGHT(Fisa!B28,2)="PG",RIGHT(Fisa!B28,2)="3D"), B18*5.796, B18)),B18)</f>
        <v/>
      </c>
      <c r="F18" t="s">
        <v>52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02" t="str">
        <f>IFERROR(B19*4.1, "")</f>
        <v/>
      </c>
      <c r="F19" t="s">
        <v>53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02" t="str">
        <f>IFERROR(B20*4.1, "")</f>
        <v/>
      </c>
      <c r="F20" t="s">
        <v>53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02" t="str">
        <f>IFERROR(B21*4.1, "")</f>
        <v/>
      </c>
      <c r="F21" t="s">
        <v>53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02" t="str">
        <f t="shared" ref="E22:E24" si="1">IFERROR(B22*4.1, "")</f>
        <v/>
      </c>
      <c r="F22" t="s">
        <v>53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02" t="str">
        <f t="shared" si="1"/>
        <v/>
      </c>
      <c r="F23" t="s">
        <v>53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02" t="str">
        <f t="shared" si="1"/>
        <v/>
      </c>
      <c r="F24" t="s">
        <v>53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tr">
        <f>Fisa!B30</f>
        <v/>
      </c>
      <c r="B144" t="str">
        <f>Fisa!C30</f>
        <v/>
      </c>
      <c r="C144" t="str">
        <f>Fisa!D30</f>
        <v>mp</v>
      </c>
      <c r="D144" t="str">
        <f>CONCATENATE(A144," ",F144)</f>
        <v xml:space="preserve"> mp</v>
      </c>
      <c r="E144" t="str">
        <f>IF(Fisa!I3="Debitare căntuire", B144*5.8995, B144)</f>
        <v/>
      </c>
      <c r="F144" t="s">
        <v>52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92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90</v>
      </c>
      <c r="B195">
        <f>Fisa!G41</f>
        <v>0</v>
      </c>
      <c r="D195" t="str">
        <f t="shared" ref="D195:D200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91</v>
      </c>
      <c r="B199">
        <f>Fisa!O41</f>
        <v>0</v>
      </c>
      <c r="D199" t="str">
        <f t="shared" si="7"/>
        <v>Cant 43/1</v>
      </c>
    </row>
    <row r="200" spans="1:4">
      <c r="A200" t="s">
        <v>26</v>
      </c>
      <c r="B200">
        <f>Fisa!S41+Fisa!Q41</f>
        <v>0</v>
      </c>
      <c r="D200" t="str">
        <f t="shared" si="7"/>
        <v>Cant 43/2</v>
      </c>
    </row>
    <row r="201" spans="1:4">
      <c r="A201" t="s">
        <v>27</v>
      </c>
      <c r="B201">
        <f>Fisa!K47</f>
        <v>1</v>
      </c>
      <c r="D201" t="str">
        <f>CONCATENATE(A201,C201)</f>
        <v>CHLTTRMANIP</v>
      </c>
    </row>
    <row r="202" spans="1:4">
      <c r="A202" t="str">
        <f>Fisa!F47</f>
        <v>Proiectare</v>
      </c>
      <c r="B202" t="str">
        <f>Fisa!G47</f>
        <v>N/A</v>
      </c>
      <c r="D202" t="s">
        <v>35</v>
      </c>
    </row>
  </sheetData>
  <autoFilter ref="A1:B201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workbookViewId="0">
      <selection activeCell="F57" sqref="F57"/>
    </sheetView>
  </sheetViews>
  <sheetFormatPr defaultColWidth="9.140625" defaultRowHeight="15"/>
  <cols>
    <col min="1" max="1" width="12.7109375" style="4" customWidth="1"/>
    <col min="2" max="2" width="15.8554687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42" t="s">
        <v>14</v>
      </c>
      <c r="B1" s="242"/>
      <c r="C1" s="242"/>
      <c r="D1" s="242"/>
      <c r="E1" s="242"/>
      <c r="F1" s="242"/>
      <c r="G1" s="242"/>
      <c r="H1" s="242"/>
      <c r="I1" s="242"/>
      <c r="J1" s="24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43">
        <f>Fisa!B3:D3</f>
        <v>0</v>
      </c>
      <c r="C3" s="243"/>
      <c r="D3" s="243"/>
      <c r="E3" s="243"/>
      <c r="F3" s="243"/>
      <c r="G3" s="243"/>
      <c r="H3" s="5"/>
      <c r="I3" s="5"/>
      <c r="J3" s="5"/>
      <c r="K3" s="5"/>
      <c r="L3" s="5"/>
    </row>
    <row r="4" spans="1:12" customFormat="1">
      <c r="A4" s="6" t="s">
        <v>7</v>
      </c>
      <c r="B4" s="244">
        <f>Fisa!B6</f>
        <v>0</v>
      </c>
      <c r="C4" s="24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74</v>
      </c>
      <c r="D25" s="8" t="s">
        <v>93</v>
      </c>
      <c r="E25" s="8" t="s">
        <v>4</v>
      </c>
      <c r="F25" s="8" t="s">
        <v>75</v>
      </c>
      <c r="G25" s="8" t="s">
        <v>94</v>
      </c>
      <c r="H25" s="8" t="s">
        <v>76</v>
      </c>
      <c r="I25" s="8" t="s">
        <v>77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95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99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00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abSelected="1" zoomScaleNormal="100" workbookViewId="0">
      <selection activeCell="Y2" sqref="Y2:Y34"/>
    </sheetView>
  </sheetViews>
  <sheetFormatPr defaultRowHeight="15"/>
  <cols>
    <col min="1" max="1" width="22.42578125" bestFit="1" customWidth="1"/>
    <col min="18" max="18" width="9.140625" style="130"/>
    <col min="20" max="20" width="9.140625" customWidth="1"/>
    <col min="21" max="21" width="4.140625" customWidth="1"/>
    <col min="22" max="22" width="9.140625" style="133"/>
    <col min="24" max="24" width="19.5703125" bestFit="1" customWidth="1"/>
    <col min="25" max="25" width="19.140625" bestFit="1" customWidth="1"/>
    <col min="27" max="27" width="13.140625" bestFit="1" customWidth="1"/>
  </cols>
  <sheetData>
    <row r="1" spans="1:27">
      <c r="A1" t="s">
        <v>67</v>
      </c>
      <c r="B1" t="s">
        <v>98</v>
      </c>
      <c r="C1" t="s">
        <v>99</v>
      </c>
      <c r="D1" t="s">
        <v>100</v>
      </c>
      <c r="E1" t="s">
        <v>101</v>
      </c>
      <c r="V1" s="133" t="s">
        <v>3</v>
      </c>
      <c r="W1" t="s">
        <v>103</v>
      </c>
      <c r="X1" t="s">
        <v>104</v>
      </c>
      <c r="Y1" t="s">
        <v>105</v>
      </c>
      <c r="Z1" t="s">
        <v>107</v>
      </c>
      <c r="AA1" t="s">
        <v>115</v>
      </c>
    </row>
    <row r="2" spans="1:27">
      <c r="R2" s="131"/>
      <c r="S2" s="128"/>
      <c r="T2" s="115"/>
      <c r="U2" s="115"/>
      <c r="V2" s="133" t="str">
        <f>IFERROR(IF(OR(W2="DB PAL",W2="DB MDF"),ROUND(Q2/13.5,0), ROUND(Q2/P2,2)),"")</f>
        <v/>
      </c>
      <c r="W2" t="str">
        <f>IF(
    AND(
        OR(
            AND(D2=2800,E2=2070,OR(B2=19,B2=19.3)),
            AND(D2=2800,E2=1220,B2=18),
            AND(D2=3050,E2=1300,B2=19),
            AND(D2=3050,E2=1310,B2=19),
            AND(D2=2800,E2=1300,OR(B2=17.5,B2=18.5,B2=19)),
            AND(RIGHT(A2,6)="MDF 3D",B2&lt;&gt;36)
        ),
        NOT(OR(
            ISNUMBER(FIND(" TM",A2)),
            ISNUMBER(FIND("TM/ST",A2))
        )),
        RIGHT(A2,6)&lt;&gt;"ROH P2"
    ),
    "MDF",
    IF(
        AND(
            D2=2800,
            OR(E2=2070,E2=1000),
            OR(B2=18,B2=18.6,B2=8,B2=10,B2=16,B2=19),
            RIGHT(A2,6)&lt;&gt;"MDF 3D"
        ),
        "PAL",
        IF(
            AND(
                D2=2800,
                E2=2070,
                OR(B2=19,B2=19.3),
                OR(ISNUMBER(FIND(" TM",A2)),ISNUMBER(FIND("TM/ST",A2)))
            ),
            "PAL",
            IF(
                AND(
                    D2=2800,
                    E2=2070,
                    OR(B2=38,B2=38.6,B2=36,B2=37.2,B2=32,B2=26,B2=28),
                    OR(ISNUMBER(FIND(" TM",A2)),ISNUMBER(FIND("TM/ST",A2)))
                ),
                "DB PAL",
                IF(
                    AND(
                        D2=4100,
                        OR(E2=600,E2=650,E2=920,E2=1200),
                        OR(B2=38,B2=20)
                    ),
                    "BLAT",
                    IF(
                        AND(
                            D2=4100,
                            OR(E2=600,E2=650,E2=920),
                            OR(B2=12)
                        ),
                        "LC",
                        IF(
                            AND(
                                D2=4100,
                                E2=640,
                                OR(B2=9.2,B2=8,B2=8.8)
                            ),
                            "PS",
                            IF(
                                AND(
                                    OR(
                                        AND(D2=2800,E2=2070,OR(B2=38,B2=38.6)),
                                        AND(D2=2800,E2=1220,B2=36),
                                        AND(D2=3050,OR(E2=1300,E2=1310),OR(B2=38.6,B2=38,B2=38.1)),
                                        AND(D2=2800,E2=1300,B2=35),
                                        AND(D2=2800,E2=1300,B2=38),
                                        AND(RIGHT(A2,6)="MDF 3D",B2=36)
                                    ),
                                    NOT(OR(ISNUMBER(FIND(" TM",A2)),ISNUMBER(FIND("TM/ST",A2))))
                                ),
                                "DB MDF",
                                IF(
                                    AND(
                                        D2=2800,
                                        E2=2070,
                                        OR(B2=36,B2=37.2,B2=32,B2=26,B2=28),
                                        RIGHT(A2,6)&lt;&gt;"MDF 3D"
                                    ),
                                    "DB PAL",
                                    IF(B2=2.7,"HDF","N/A")
                                )
                            )
                        )
                    )
                )
            )
        )
    )
)</f>
        <v>N/A</v>
      </c>
      <c r="X2" t="str">
        <f>IFERROR(
IF(
ISNUMBER(SEARCH("2461LT",A2)),
"Rehau 2461LT",
IF(
ISNUMBER(SEARCH("2461L",A2)),
"Rehau 2461L",
IF(
ISNUMBER(SEARCH("3146L",A2)),
"Rehau 3146L",
IF(
ISNUMBER(SEARCH("1918L",A2)),
"Rehau 1918L",
IF(
ISNUMBER(--LEFT(SUBSTITUTE(TRIM(MID(A2,FIND("-",A2)+1,50)),"LR ","LR"),1)),
"AGT "&amp;SUBSTITUTE(TRIM(MID(A2,FIND("-",A2)+1,50)),"LR ","LR"),
SUBSTITUTE(TRIM(MID(A2,FIND("-",A2)+1,50)),"LR ","LR")
)
)
)
)
)
&amp;IF(OR(E2=600,E2=650,E2=920)," /"&amp;E2,"")
&amp;IF(E2=640," PS","")
&amp;IF(AND(OR(B2=8,B2=10,B2=16),D2=2800,E2=2070)," "&amp;B2&amp;"mm",""),
"")</f>
        <v/>
      </c>
      <c r="Y2" t="str">
        <f>IF(W2="","",
IF(
OR(
ISNUMBER(FIND(" ST",X2)),
ISNUMBER(FIND(" SM",X2)),
ISNUMBER(FIND(" PM",X2)),
ISNUMBER(FIND(" TM",X2)),
ISNUMBER(FIND(" PG",X2)),
ISNUMBER(FIND(" PA",X2))
),
IF(OR(E2=600,E2=650,E2=920,LEFT(A2,5)="CLMEL"),
SUBSTITUTE(X2," ","",1),
IFERROR(LEFT(SUBSTITUTE(X2," ","",1),FIND("/",SUBSTITUTE(X2," ","",1))-1),SUBSTITUTE(X2," ","",1))
),
IF(OR(E2=600,E2=650,E2=920,LEFT(A2,5)="CLMEL"),
X2,
IFERROR(LEFT(X2,FIND("/",X2)-1),X2)
)
)
&amp;IF(W2="LC"," LC","")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31"/>
      <c r="S3" s="128"/>
      <c r="T3" s="106"/>
      <c r="U3" s="115"/>
      <c r="V3" s="133" t="str">
        <f t="shared" ref="V3:V34" si="0">IFERROR(IF(OR(W3="DB PAL",W3="DB MDF"),ROUND(Q3/13.5,0), ROUND(Q3/P3,2)),"")</f>
        <v/>
      </c>
      <c r="W3" t="str">
        <f t="shared" ref="W3:W34" si="1">IF(
    AND(
        OR(
            AND(D3=2800,E3=2070,OR(B3=19,B3=19.3)),
            AND(D3=2800,E3=1220,B3=18),
            AND(D3=3050,E3=1300,B3=19),
            AND(D3=3050,E3=1310,B3=19),
            AND(D3=2800,E3=1300,OR(B3=17.5,B3=18.5,B3=19)),
            AND(RIGHT(A3,6)="MDF 3D",B3&lt;&gt;36)
        ),
        NOT(OR(
            ISNUMBER(FIND(" TM",A3)),
            ISNUMBER(FIND("TM/ST",A3))
        )),
        RIGHT(A3,6)&lt;&gt;"ROH P2"
    ),
    "MDF",
    IF(
        AND(
            D3=2800,
            OR(E3=2070,E3=1000),
            OR(B3=18,B3=18.6,B3=8,B3=10,B3=16,B3=19),
            RIGHT(A3,6)&lt;&gt;"MDF 3D"
        ),
        "PAL",
        IF(
            AND(
                D3=2800,
                E3=2070,
                OR(B3=19,B3=19.3),
                OR(ISNUMBER(FIND(" TM",A3)),ISNUMBER(FIND("TM/ST",A3)))
            ),
            "PAL",
            IF(
                AND(
                    D3=2800,
                    E3=2070,
                    OR(B3=38,B3=38.6,B3=36,B3=37.2,B3=32,B3=26,B3=28),
                    OR(ISNUMBER(FIND(" TM",A3)),ISNUMBER(FIND("TM/ST",A3)))
                ),
                "DB PAL",
                IF(
                    AND(
                        D3=4100,
                        OR(E3=600,E3=650,E3=920,E3=1200),
                        OR(B3=38,B3=20)
                    ),
                    "BLAT",
                    IF(
                        AND(
                            D3=4100,
                            OR(E3=600,E3=650,E3=920),
                            OR(B3=12)
                        ),
                        "LC",
                        IF(
                            AND(
                                D3=4100,
                                E3=640,
                                OR(B3=9.2,B3=8,B3=8.8)
                            ),
                            "PS",
                            IF(
                                AND(
                                    OR(
                                        AND(D3=2800,E3=2070,OR(B3=38,B3=38.6)),
                                        AND(D3=2800,E3=1220,B3=36),
                                        AND(D3=3050,OR(E3=1300,E3=1310),OR(B3=38.6,B3=38,B3=38.1)),
                                        AND(D3=2800,E3=1300,B3=35),
                                        AND(D3=2800,E3=1300,B3=38),
                                        AND(RIGHT(A3,6)="MDF 3D",B3=36)
                                    ),
                                    NOT(OR(ISNUMBER(FIND(" TM",A3)),ISNUMBER(FIND("TM/ST",A3))))
                                ),
                                "DB MDF",
                                IF(
                                    AND(
                                        D3=2800,
                                        E3=2070,
                                        OR(B3=36,B3=37.2,B3=32,B3=26,B3=28),
                                        RIGHT(A3,6)&lt;&gt;"MDF 3D"
                                    ),
                                    "DB PAL",
                                    IF(B3=2.7,"HDF","N/A")
                                )
                            )
                        )
                    )
                )
            )
        )
    )
)</f>
        <v>N/A</v>
      </c>
      <c r="X3" t="str">
        <f t="shared" ref="X3:X34" si="2">IFERROR(
IF(
ISNUMBER(SEARCH("2461LT",A3)),
"Rehau 2461LT",
IF(
ISNUMBER(SEARCH("2461L",A3)),
"Rehau 2461L",
IF(
ISNUMBER(SEARCH("3146L",A3)),
"Rehau 3146L",
IF(
ISNUMBER(SEARCH("1918L",A3)),
"Rehau 1918L",
IF(
ISNUMBER(--LEFT(SUBSTITUTE(TRIM(MID(A3,FIND("-",A3)+1,50)),"LR ","LR"),1)),
"AGT "&amp;SUBSTITUTE(TRIM(MID(A3,FIND("-",A3)+1,50)),"LR ","LR"),
SUBSTITUTE(TRIM(MID(A3,FIND("-",A3)+1,50)),"LR ","LR")
)
)
)
)
)
&amp;IF(OR(E3=600,E3=650,E3=920)," /"&amp;E3,"")
&amp;IF(E3=640," PS","")
&amp;IF(AND(OR(B3=8,B3=10,B3=16),D3=2800,E3=2070)," "&amp;B3&amp;"mm",""),
"")</f>
        <v/>
      </c>
      <c r="Y3" t="str">
        <f t="shared" ref="Y3:Y34" si="3">IF(W3="","",
IF(
OR(
ISNUMBER(FIND(" ST",X3)),
ISNUMBER(FIND(" SM",X3)),
ISNUMBER(FIND(" PM",X3)),
ISNUMBER(FIND(" TM",X3)),
ISNUMBER(FIND(" PG",X3)),
ISNUMBER(FIND(" PA",X3))
),
IF(OR(E3=600,E3=650,E3=920,LEFT(A3,5)="CLMEL"),
SUBSTITUTE(X3," ","",1),
IFERROR(LEFT(SUBSTITUTE(X3," ","",1),FIND("/",SUBSTITUTE(X3," ","",1))-1),SUBSTITUTE(X3," ","",1))
),
IF(OR(E3=600,E3=650,E3=920,LEFT(A3,5)="CLMEL"),
X3,
IFERROR(LEFT(X3,FIND("/",X3)-1),X3)
)
)
&amp;IF(W3="LC"," LC","")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31"/>
      <c r="S4" s="128"/>
      <c r="T4" s="115"/>
      <c r="U4" s="106"/>
      <c r="V4" s="133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31"/>
      <c r="S5" s="128"/>
      <c r="T5" s="115"/>
      <c r="U5" s="106"/>
      <c r="V5" s="133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31"/>
      <c r="S6" s="128"/>
      <c r="T6" s="115"/>
      <c r="U6" s="106"/>
      <c r="V6" s="133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31"/>
      <c r="S7" s="128"/>
      <c r="T7" s="106"/>
      <c r="U7" s="106"/>
      <c r="V7" s="133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31"/>
      <c r="S8" s="128"/>
      <c r="T8" s="115"/>
      <c r="U8" s="106"/>
      <c r="V8" s="133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31"/>
      <c r="S9" s="128"/>
      <c r="T9" s="115"/>
      <c r="U9" s="104"/>
      <c r="V9" s="133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31"/>
      <c r="S10" s="128"/>
      <c r="T10" s="115"/>
      <c r="U10" s="115"/>
      <c r="V10" s="133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31"/>
      <c r="S11" s="128"/>
      <c r="T11" s="115"/>
      <c r="U11" s="115"/>
      <c r="V11" s="133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31"/>
      <c r="S12" s="107"/>
      <c r="T12" s="107"/>
      <c r="U12" s="107"/>
      <c r="V12" s="133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31"/>
      <c r="S13" s="124"/>
      <c r="T13" s="123"/>
      <c r="U13" s="129"/>
      <c r="V13" s="133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31"/>
      <c r="S14" s="123"/>
      <c r="T14" s="124"/>
      <c r="U14" s="129"/>
      <c r="V14" s="133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31"/>
      <c r="S15" s="124"/>
      <c r="T15" s="124"/>
      <c r="U15" s="107"/>
      <c r="V15" s="133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32"/>
      <c r="S16" s="124"/>
      <c r="T16" s="124"/>
      <c r="U16" s="106"/>
      <c r="V16" s="133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32"/>
      <c r="S17" s="124"/>
      <c r="T17" s="124"/>
      <c r="U17" s="106"/>
      <c r="V17" s="133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18"/>
      <c r="B18" s="119"/>
      <c r="C18" s="120"/>
      <c r="D18" s="121"/>
      <c r="E18" s="121"/>
      <c r="F18" s="122"/>
      <c r="G18" s="119"/>
      <c r="H18" s="123"/>
      <c r="I18" s="119"/>
      <c r="J18" s="124"/>
      <c r="K18" s="127"/>
      <c r="L18" s="127"/>
      <c r="M18" s="123"/>
      <c r="N18" s="127"/>
      <c r="O18" s="127"/>
      <c r="P18" s="123"/>
      <c r="Q18" s="127"/>
      <c r="R18" s="132"/>
      <c r="S18" s="124"/>
      <c r="T18" s="124"/>
      <c r="U18" s="106"/>
      <c r="V18" s="133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18"/>
      <c r="B19" s="119"/>
      <c r="C19" s="120"/>
      <c r="D19" s="121"/>
      <c r="E19" s="121"/>
      <c r="F19" s="122"/>
      <c r="G19" s="119"/>
      <c r="H19" s="123"/>
      <c r="I19" s="119"/>
      <c r="J19" s="123"/>
      <c r="K19" s="127"/>
      <c r="L19" s="127"/>
      <c r="M19" s="125"/>
      <c r="N19" s="127"/>
      <c r="O19" s="127"/>
      <c r="P19" s="124"/>
      <c r="Q19" s="127"/>
      <c r="R19" s="132"/>
      <c r="S19" s="124"/>
      <c r="T19" s="124"/>
      <c r="V19" s="133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18"/>
      <c r="B20" s="119"/>
      <c r="C20" s="120"/>
      <c r="D20" s="121"/>
      <c r="E20" s="121"/>
      <c r="F20" s="126"/>
      <c r="G20" s="119"/>
      <c r="H20" s="123"/>
      <c r="I20" s="119"/>
      <c r="J20" s="124"/>
      <c r="K20" s="127"/>
      <c r="L20" s="127"/>
      <c r="M20" s="125"/>
      <c r="N20" s="127"/>
      <c r="O20" s="127"/>
      <c r="P20" s="123"/>
      <c r="Q20" s="127"/>
      <c r="R20" s="132"/>
      <c r="S20" s="123"/>
      <c r="T20" s="119"/>
      <c r="V20" s="133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18"/>
      <c r="B21" s="119"/>
      <c r="C21" s="120"/>
      <c r="D21" s="121"/>
      <c r="E21" s="121"/>
      <c r="F21" s="122"/>
      <c r="G21" s="119"/>
      <c r="H21" s="124"/>
      <c r="I21" s="119"/>
      <c r="J21" s="124"/>
      <c r="K21" s="127"/>
      <c r="L21" s="127"/>
      <c r="M21" s="124"/>
      <c r="N21" s="127"/>
      <c r="O21" s="127"/>
      <c r="P21" s="124"/>
      <c r="Q21" s="127"/>
      <c r="R21" s="132"/>
      <c r="S21" s="124"/>
      <c r="T21" s="123"/>
      <c r="V21" s="133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33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33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33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33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33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33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33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33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33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33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33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33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33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L19" sqref="L19"/>
    </sheetView>
  </sheetViews>
  <sheetFormatPr defaultRowHeight="15"/>
  <cols>
    <col min="1" max="1" width="85.5703125" customWidth="1"/>
    <col min="12" max="12" width="15.140625" bestFit="1" customWidth="1"/>
    <col min="13" max="13" width="10.85546875" bestFit="1" customWidth="1"/>
  </cols>
  <sheetData>
    <row r="1" spans="1:13">
      <c r="A1" t="s">
        <v>67</v>
      </c>
      <c r="B1" t="s">
        <v>98</v>
      </c>
      <c r="C1" t="s">
        <v>99</v>
      </c>
      <c r="D1" t="s">
        <v>100</v>
      </c>
      <c r="E1" t="s">
        <v>101</v>
      </c>
      <c r="I1" t="s">
        <v>102</v>
      </c>
      <c r="J1" t="s">
        <v>103</v>
      </c>
      <c r="L1" t="s">
        <v>104</v>
      </c>
      <c r="M1" t="s">
        <v>105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 t="shared" ref="L2:L23" si="1">IFERROR(
IF(
ISNUMBER(SEARCH("2461LT",A2)),
"Rehau 2461LT",
IF(
ISNUMBER(SEARCH("3146L",A2)),
"Rehau 3146L",
IF(
ISNUMBER(SEARCH("1918L",A2)),
"Rehau 1918L",
IF(
ISNUMBER(VALUE(MID(A2,FIND("-",A2)+1,1))),
"AGT "&amp;TRIM(MID(A2,FIND("-",A2)+1,FIND("@",SUBSTITUTE(A2,"-","@",LEN(A2)-LEN(SUBSTITUTE(A2,"-",""))))-FIND("-",A2)-1)),
TRIM(MID(A2,FIND("-",A2)+1,FIND("@",SUBSTITUTE(A2,"-","@",LEN(A2)-LEN(SUBSTITUTE(A2,"-",""))))-FIND("-",A2)-1))
)
)
)
),
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23" si="2">RIGHT(A3,3)</f>
        <v/>
      </c>
      <c r="I3">
        <f t="shared" ref="I3:I23" si="3">ROUNDUP(E3*1.03,0)</f>
        <v>0</v>
      </c>
      <c r="J3" t="str">
        <f t="shared" si="0"/>
        <v>/</v>
      </c>
      <c r="L3" t="str">
        <f t="shared" si="1"/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2"/>
        <v/>
      </c>
      <c r="I4">
        <f t="shared" si="3"/>
        <v>0</v>
      </c>
      <c r="J4" t="str">
        <f t="shared" si="0"/>
        <v>/</v>
      </c>
      <c r="L4" t="str">
        <f t="shared" si="1"/>
        <v/>
      </c>
      <c r="M4" t="str">
        <f t="shared" si="4"/>
        <v/>
      </c>
    </row>
    <row r="5" spans="1:13">
      <c r="H5" t="str">
        <f t="shared" si="2"/>
        <v/>
      </c>
      <c r="I5">
        <f t="shared" si="3"/>
        <v>0</v>
      </c>
      <c r="J5" t="str">
        <f t="shared" si="0"/>
        <v>/</v>
      </c>
      <c r="L5" t="str">
        <f>IFERROR(
IF(
ISNUMBER(SEARCH("2461LT",A5)),
"Rehau 2461LT",
IF(
ISNUMBER(SEARCH("3146L",A5)),
"Rehau 3146L",
IF(
ISNUMBER(SEARCH("1918L",A5)),
"Rehau 1918L",
IF(
ISNUMBER(VALUE(MID(A5,FIND("-",A5)+1,1))),
"AGT "&amp;TRIM(MID(A5,FIND("-",A5)+1,FIND("@",SUBSTITUTE(A5,"-","@",LEN(A5)-LEN(SUBSTITUTE(A5,"-",""))))-FIND("-",A5)-1)),
TRIM(MID(A5,FIND("-",A5)+1,FIND("@",SUBSTITUTE(A5,"-","@",LEN(A5)-LEN(SUBSTITUTE(A5,"-",""))))-FIND("-",A5)-1))
)
)
)
),
"")</f>
        <v/>
      </c>
      <c r="M5" t="str">
        <f t="shared" si="4"/>
        <v/>
      </c>
    </row>
    <row r="6" spans="1:13">
      <c r="H6" t="str">
        <f t="shared" si="2"/>
        <v/>
      </c>
      <c r="I6">
        <f t="shared" si="3"/>
        <v>0</v>
      </c>
      <c r="J6" t="str">
        <f t="shared" si="0"/>
        <v>/</v>
      </c>
      <c r="L6" t="str">
        <f t="shared" si="1"/>
        <v/>
      </c>
      <c r="M6" t="str">
        <f t="shared" si="4"/>
        <v/>
      </c>
    </row>
    <row r="7" spans="1:13">
      <c r="H7" t="str">
        <f t="shared" si="2"/>
        <v/>
      </c>
      <c r="I7">
        <f t="shared" si="3"/>
        <v>0</v>
      </c>
      <c r="J7" t="str">
        <f t="shared" si="0"/>
        <v>/</v>
      </c>
      <c r="L7" t="str">
        <f t="shared" si="1"/>
        <v/>
      </c>
      <c r="M7" t="str">
        <f t="shared" si="4"/>
        <v/>
      </c>
    </row>
    <row r="8" spans="1:13">
      <c r="H8" t="str">
        <f t="shared" si="2"/>
        <v/>
      </c>
      <c r="I8">
        <f t="shared" si="3"/>
        <v>0</v>
      </c>
      <c r="J8" t="str">
        <f t="shared" si="0"/>
        <v>/</v>
      </c>
      <c r="L8" t="str">
        <f t="shared" si="1"/>
        <v/>
      </c>
      <c r="M8" t="str">
        <f t="shared" si="4"/>
        <v/>
      </c>
    </row>
    <row r="9" spans="1:13">
      <c r="H9" t="str">
        <f t="shared" si="2"/>
        <v/>
      </c>
      <c r="I9">
        <f t="shared" si="3"/>
        <v>0</v>
      </c>
      <c r="J9" t="str">
        <f t="shared" si="0"/>
        <v>/</v>
      </c>
      <c r="L9" t="str">
        <f t="shared" si="1"/>
        <v/>
      </c>
      <c r="M9" t="str">
        <f t="shared" si="4"/>
        <v/>
      </c>
    </row>
    <row r="10" spans="1:13">
      <c r="H10" t="str">
        <f t="shared" si="2"/>
        <v/>
      </c>
      <c r="I10">
        <f t="shared" si="3"/>
        <v>0</v>
      </c>
      <c r="J10" t="str">
        <f t="shared" si="0"/>
        <v>/</v>
      </c>
      <c r="L10" t="str">
        <f t="shared" si="1"/>
        <v/>
      </c>
      <c r="M10" t="str">
        <f t="shared" si="4"/>
        <v/>
      </c>
    </row>
    <row r="11" spans="1:13">
      <c r="H11" t="str">
        <f t="shared" si="2"/>
        <v/>
      </c>
      <c r="I11">
        <f t="shared" si="3"/>
        <v>0</v>
      </c>
      <c r="J11" t="str">
        <f t="shared" si="0"/>
        <v>/</v>
      </c>
      <c r="L11" t="str">
        <f t="shared" si="1"/>
        <v/>
      </c>
      <c r="M11" t="str">
        <f t="shared" si="4"/>
        <v/>
      </c>
    </row>
    <row r="12" spans="1:13">
      <c r="A12" s="103"/>
      <c r="B12" s="104"/>
      <c r="C12" s="105"/>
      <c r="D12" s="105"/>
      <c r="E12" s="106"/>
      <c r="H12" t="str">
        <f t="shared" si="2"/>
        <v/>
      </c>
      <c r="I12">
        <f t="shared" si="3"/>
        <v>0</v>
      </c>
      <c r="J12" t="str">
        <f t="shared" si="0"/>
        <v>/</v>
      </c>
      <c r="L12" t="str">
        <f t="shared" si="1"/>
        <v/>
      </c>
      <c r="M12" t="str">
        <f t="shared" si="4"/>
        <v/>
      </c>
    </row>
    <row r="13" spans="1:13">
      <c r="A13" s="103"/>
      <c r="B13" s="104"/>
      <c r="C13" s="105"/>
      <c r="D13" s="105"/>
      <c r="E13" s="106"/>
      <c r="H13" t="str">
        <f t="shared" si="2"/>
        <v/>
      </c>
      <c r="I13">
        <f t="shared" si="3"/>
        <v>0</v>
      </c>
      <c r="J13" t="str">
        <f t="shared" si="0"/>
        <v>/</v>
      </c>
      <c r="L13" t="str">
        <f t="shared" si="1"/>
        <v/>
      </c>
      <c r="M13" t="str">
        <f t="shared" si="4"/>
        <v/>
      </c>
    </row>
    <row r="14" spans="1:13">
      <c r="A14" s="103"/>
      <c r="B14" s="104"/>
      <c r="C14" s="105"/>
      <c r="D14" s="105"/>
      <c r="E14" s="106"/>
      <c r="H14" t="str">
        <f t="shared" si="2"/>
        <v/>
      </c>
      <c r="I14">
        <f t="shared" si="3"/>
        <v>0</v>
      </c>
      <c r="J14" t="str">
        <f t="shared" si="0"/>
        <v>/</v>
      </c>
      <c r="L14" t="str">
        <f t="shared" si="1"/>
        <v/>
      </c>
      <c r="M14" t="str">
        <f t="shared" si="4"/>
        <v/>
      </c>
    </row>
    <row r="15" spans="1:13">
      <c r="A15" s="117"/>
      <c r="B15" s="116"/>
      <c r="C15" s="116"/>
      <c r="D15" s="116"/>
      <c r="E15" s="116"/>
      <c r="H15" t="str">
        <f t="shared" si="2"/>
        <v/>
      </c>
      <c r="I15">
        <f t="shared" si="3"/>
        <v>0</v>
      </c>
      <c r="J15" t="str">
        <f t="shared" si="0"/>
        <v>/</v>
      </c>
      <c r="L15" t="str">
        <f t="shared" si="1"/>
        <v/>
      </c>
      <c r="M15" t="str">
        <f t="shared" si="4"/>
        <v/>
      </c>
    </row>
    <row r="16" spans="1:13">
      <c r="H16" t="str">
        <f>RIGHT(A16,3)</f>
        <v/>
      </c>
      <c r="I16">
        <f t="shared" si="3"/>
        <v>0</v>
      </c>
      <c r="J16" t="str">
        <f t="shared" si="0"/>
        <v>/</v>
      </c>
      <c r="L16" t="str">
        <f t="shared" si="1"/>
        <v/>
      </c>
      <c r="M16" t="str">
        <f t="shared" si="4"/>
        <v/>
      </c>
    </row>
    <row r="17" spans="8:13">
      <c r="H17" t="str">
        <f t="shared" si="2"/>
        <v/>
      </c>
      <c r="I17">
        <f t="shared" si="3"/>
        <v>0</v>
      </c>
      <c r="J17" t="str">
        <f t="shared" si="0"/>
        <v>/</v>
      </c>
      <c r="L17" t="str">
        <f t="shared" si="1"/>
        <v/>
      </c>
      <c r="M17" t="str">
        <f t="shared" si="4"/>
        <v/>
      </c>
    </row>
    <row r="18" spans="8:13">
      <c r="H18" t="str">
        <f t="shared" si="2"/>
        <v/>
      </c>
      <c r="I18">
        <f t="shared" si="3"/>
        <v>0</v>
      </c>
      <c r="J18" t="str">
        <f t="shared" si="0"/>
        <v>/</v>
      </c>
      <c r="L18" t="str">
        <f t="shared" si="1"/>
        <v/>
      </c>
      <c r="M18" t="str">
        <f t="shared" si="4"/>
        <v/>
      </c>
    </row>
    <row r="19" spans="8:13">
      <c r="H19" t="str">
        <f t="shared" si="2"/>
        <v/>
      </c>
      <c r="I19">
        <f t="shared" si="3"/>
        <v>0</v>
      </c>
      <c r="J19" t="str">
        <f t="shared" si="0"/>
        <v>/</v>
      </c>
      <c r="L19" t="str">
        <f t="shared" si="1"/>
        <v/>
      </c>
      <c r="M19" t="str">
        <f t="shared" si="4"/>
        <v/>
      </c>
    </row>
    <row r="20" spans="8:13">
      <c r="H20" t="str">
        <f t="shared" si="2"/>
        <v/>
      </c>
      <c r="I20">
        <f t="shared" si="3"/>
        <v>0</v>
      </c>
      <c r="J20" t="str">
        <f t="shared" si="0"/>
        <v>/</v>
      </c>
      <c r="L20" t="str">
        <f t="shared" si="1"/>
        <v/>
      </c>
      <c r="M20" t="str">
        <f t="shared" si="4"/>
        <v/>
      </c>
    </row>
    <row r="21" spans="8:13">
      <c r="H21" t="str">
        <f t="shared" si="2"/>
        <v/>
      </c>
      <c r="I21">
        <f t="shared" si="3"/>
        <v>0</v>
      </c>
      <c r="J21" t="str">
        <f t="shared" si="0"/>
        <v>/</v>
      </c>
      <c r="L21" t="str">
        <f t="shared" si="1"/>
        <v/>
      </c>
      <c r="M21" t="str">
        <f t="shared" si="4"/>
        <v/>
      </c>
    </row>
    <row r="22" spans="8:13">
      <c r="H22" t="str">
        <f t="shared" si="2"/>
        <v/>
      </c>
      <c r="I22">
        <f t="shared" si="3"/>
        <v>0</v>
      </c>
      <c r="J22" t="str">
        <f t="shared" si="0"/>
        <v>/</v>
      </c>
      <c r="L22" t="str">
        <f t="shared" si="1"/>
        <v/>
      </c>
      <c r="M22" t="str">
        <f t="shared" si="4"/>
        <v/>
      </c>
    </row>
    <row r="23" spans="8:13">
      <c r="H23" t="str">
        <f t="shared" si="2"/>
        <v/>
      </c>
      <c r="I23">
        <f t="shared" si="3"/>
        <v>0</v>
      </c>
      <c r="J23" t="str">
        <f t="shared" si="0"/>
        <v>/</v>
      </c>
      <c r="L23" t="str">
        <f t="shared" si="1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topLeftCell="A10" workbookViewId="0">
      <selection activeCell="J35" sqref="J35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39</v>
      </c>
      <c r="B1" t="s">
        <v>42</v>
      </c>
      <c r="C1" t="s">
        <v>56</v>
      </c>
      <c r="D1" t="s">
        <v>57</v>
      </c>
      <c r="E1" t="s">
        <v>46</v>
      </c>
      <c r="F1" t="s">
        <v>106</v>
      </c>
      <c r="G1" t="s">
        <v>111</v>
      </c>
    </row>
    <row r="2" spans="1:7">
      <c r="A2" t="s">
        <v>41</v>
      </c>
      <c r="B2" t="s">
        <v>55</v>
      </c>
      <c r="C2" t="s">
        <v>43</v>
      </c>
      <c r="D2" t="s">
        <v>58</v>
      </c>
      <c r="E2" t="s">
        <v>44</v>
      </c>
      <c r="F2" t="s">
        <v>109</v>
      </c>
      <c r="G2" t="s">
        <v>112</v>
      </c>
    </row>
    <row r="3" spans="1:7">
      <c r="A3" t="s">
        <v>37</v>
      </c>
      <c r="E3" t="s">
        <v>45</v>
      </c>
      <c r="F3" t="s">
        <v>110</v>
      </c>
      <c r="G3" t="s">
        <v>113</v>
      </c>
    </row>
    <row r="4" spans="1:7">
      <c r="A4" t="s">
        <v>40</v>
      </c>
    </row>
    <row r="5" spans="1:7">
      <c r="A5" t="s">
        <v>38</v>
      </c>
    </row>
    <row r="6" spans="1:7">
      <c r="A6" t="s">
        <v>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2026-09-24T11:15:45Z</cp:lastPrinted>
  <dcterms:created xsi:type="dcterms:W3CDTF">2018-08-21T07:33:50Z</dcterms:created>
  <dcterms:modified xsi:type="dcterms:W3CDTF">2026-10-21T13:47:04Z</dcterms:modified>
</cp:coreProperties>
</file>