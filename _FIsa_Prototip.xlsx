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C53A0577-25BB-4076-8817-53515D8636CE}" xr6:coauthVersionLast="47" xr6:coauthVersionMax="47" xr10:uidLastSave="{00000000-0000-0000-0000-000000000000}"/>
  <bookViews>
    <workbookView xWindow="-120" yWindow="-120" windowWidth="29040" windowHeight="15720" activeTab="3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3" i="9" l="1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V2" i="9"/>
  <c r="S45" i="6"/>
  <c r="Q45" i="6"/>
  <c r="O45" i="6"/>
  <c r="M45" i="6"/>
  <c r="K45" i="6"/>
  <c r="I45" i="6"/>
  <c r="G45" i="6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19" i="9"/>
  <c r="AA20" i="9"/>
  <c r="AA21" i="9"/>
  <c r="AA22" i="9"/>
  <c r="AA23" i="9"/>
  <c r="AA24" i="9"/>
  <c r="AA25" i="9"/>
  <c r="AA26" i="9"/>
  <c r="AA27" i="9"/>
  <c r="AA28" i="9"/>
  <c r="AA29" i="9"/>
  <c r="AA30" i="9"/>
  <c r="AA31" i="9"/>
  <c r="AA32" i="9"/>
  <c r="AA33" i="9"/>
  <c r="AA34" i="9"/>
  <c r="AA2" i="9"/>
  <c r="W3" i="9"/>
  <c r="Z3" i="9" s="1"/>
  <c r="W4" i="9"/>
  <c r="W5" i="9"/>
  <c r="W6" i="9"/>
  <c r="W7" i="9"/>
  <c r="W8" i="9"/>
  <c r="W9" i="9"/>
  <c r="W10" i="9"/>
  <c r="Z10" i="9" s="1"/>
  <c r="W11" i="9"/>
  <c r="W12" i="9"/>
  <c r="W13" i="9"/>
  <c r="Z13" i="9" s="1"/>
  <c r="W14" i="9"/>
  <c r="Z14" i="9" s="1"/>
  <c r="W15" i="9"/>
  <c r="W16" i="9"/>
  <c r="W17" i="9"/>
  <c r="W18" i="9"/>
  <c r="W19" i="9"/>
  <c r="W20" i="9"/>
  <c r="W21" i="9"/>
  <c r="W22" i="9"/>
  <c r="Z22" i="9" s="1"/>
  <c r="W23" i="9"/>
  <c r="W24" i="9"/>
  <c r="W25" i="9"/>
  <c r="Z25" i="9" s="1"/>
  <c r="W26" i="9"/>
  <c r="Z26" i="9" s="1"/>
  <c r="W27" i="9"/>
  <c r="W28" i="9"/>
  <c r="W29" i="9"/>
  <c r="W30" i="9"/>
  <c r="W31" i="9"/>
  <c r="W32" i="9"/>
  <c r="W33" i="9"/>
  <c r="W34" i="9"/>
  <c r="Z34" i="9" s="1"/>
  <c r="W2" i="9"/>
  <c r="Z15" i="9"/>
  <c r="Z16" i="9"/>
  <c r="Z17" i="9"/>
  <c r="Z18" i="9"/>
  <c r="Z19" i="9"/>
  <c r="Z20" i="9"/>
  <c r="Z21" i="9"/>
  <c r="Z27" i="9"/>
  <c r="Z28" i="9"/>
  <c r="Z29" i="9"/>
  <c r="Z30" i="9"/>
  <c r="Z31" i="9"/>
  <c r="Z32" i="9"/>
  <c r="Z33" i="9"/>
  <c r="Z4" i="9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X2" i="9"/>
  <c r="C48" i="6" l="1"/>
  <c r="Z24" i="9"/>
  <c r="Z12" i="9"/>
  <c r="Z23" i="9"/>
  <c r="Z11" i="9"/>
  <c r="Z2" i="9"/>
  <c r="Z9" i="9"/>
  <c r="Z8" i="9"/>
  <c r="Z7" i="9"/>
  <c r="R45" i="6" a="1"/>
  <c r="R45" i="6" s="1"/>
  <c r="Z6" i="9"/>
  <c r="J45" i="6" a="1"/>
  <c r="J45" i="6" s="1"/>
  <c r="Z5" i="9"/>
  <c r="H45" i="6" a="1"/>
  <c r="H45" i="6" s="1"/>
  <c r="F45" i="6"/>
  <c r="N45" i="6" a="1"/>
  <c r="N45" i="6" s="1"/>
  <c r="P45" i="6" a="1"/>
  <c r="P45" i="6" s="1"/>
  <c r="L45" i="6" a="1"/>
  <c r="L45" i="6" s="1"/>
  <c r="F23" i="6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I24" i="19"/>
  <c r="I27" i="19"/>
  <c r="I28" i="1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D201" i="7"/>
  <c r="I26" i="19" l="1"/>
  <c r="I25" i="19"/>
  <c r="Y24" i="9"/>
  <c r="H10" i="10"/>
  <c r="J10" i="10" s="1"/>
  <c r="I10" i="10"/>
  <c r="M10" i="10"/>
  <c r="H11" i="10"/>
  <c r="J11" i="10" s="1"/>
  <c r="I11" i="10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Y19" i="9"/>
  <c r="Y20" i="9"/>
  <c r="I21" i="19"/>
  <c r="I22" i="19"/>
  <c r="I23" i="19"/>
  <c r="I2" i="19"/>
  <c r="I3" i="10"/>
  <c r="I4" i="10"/>
  <c r="I5" i="10"/>
  <c r="I6" i="10"/>
  <c r="I7" i="10"/>
  <c r="I8" i="10"/>
  <c r="I9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H2" i="10"/>
  <c r="J2" i="10" s="1"/>
  <c r="H3" i="10"/>
  <c r="J3" i="10" s="1"/>
  <c r="H4" i="10"/>
  <c r="J4" i="10" s="1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M12" i="10"/>
  <c r="M13" i="10"/>
  <c r="M16" i="10"/>
  <c r="M17" i="10"/>
  <c r="M18" i="10"/>
  <c r="H16" i="10"/>
  <c r="J16" i="10" s="1"/>
  <c r="H17" i="10"/>
  <c r="J17" i="10" s="1"/>
  <c r="H12" i="10"/>
  <c r="J12" i="10" s="1"/>
  <c r="H13" i="10"/>
  <c r="J13" i="10" s="1"/>
  <c r="S42" i="6" l="1"/>
  <c r="F43" i="6"/>
  <c r="Y23" i="9"/>
  <c r="Y15" i="9"/>
  <c r="Y22" i="9"/>
  <c r="I20" i="19"/>
  <c r="I19" i="19"/>
  <c r="C41" i="6" s="1"/>
  <c r="Y16" i="9"/>
  <c r="Y17" i="9"/>
  <c r="Y21" i="9"/>
  <c r="I17" i="19"/>
  <c r="Y11" i="9"/>
  <c r="Y18" i="9"/>
  <c r="I15" i="19"/>
  <c r="C47" i="6" s="1"/>
  <c r="Y13" i="9"/>
  <c r="Y12" i="9"/>
  <c r="Y14" i="9"/>
  <c r="Y6" i="9"/>
  <c r="B11" i="6" s="1"/>
  <c r="Y5" i="9"/>
  <c r="I23" i="6"/>
  <c r="Y4" i="9"/>
  <c r="Y7" i="9"/>
  <c r="Y8" i="9"/>
  <c r="B15" i="6" s="1" a="1"/>
  <c r="B15" i="6" s="1"/>
  <c r="D15" i="6" s="1" a="1"/>
  <c r="D15" i="6" s="1"/>
  <c r="Y9" i="9"/>
  <c r="B24" i="6" s="1"/>
  <c r="Y10" i="9"/>
  <c r="B32" i="6" s="1" a="1"/>
  <c r="B32" i="6" s="1"/>
  <c r="Y3" i="9"/>
  <c r="Y2" i="9"/>
  <c r="B28" i="6" a="1"/>
  <c r="B28" i="6" s="1"/>
  <c r="B21" i="6" a="1"/>
  <c r="B21" i="6" s="1"/>
  <c r="B17" i="6" a="1"/>
  <c r="B17" i="6" s="1"/>
  <c r="B18" i="6" a="1"/>
  <c r="B18" i="6" s="1"/>
  <c r="B34" i="6" a="1"/>
  <c r="B34" i="6" s="1"/>
  <c r="B19" i="6" a="1"/>
  <c r="B19" i="6" s="1"/>
  <c r="B20" i="6" a="1"/>
  <c r="B20" i="6" s="1"/>
  <c r="B26" i="6" a="1"/>
  <c r="B26" i="6" s="1"/>
  <c r="B37" i="6" a="1"/>
  <c r="B37" i="6" s="1"/>
  <c r="B22" i="6" a="1"/>
  <c r="B22" i="6" s="1"/>
  <c r="B27" i="6" a="1"/>
  <c r="B27" i="6" s="1"/>
  <c r="B38" i="6" a="1"/>
  <c r="B38" i="6" s="1"/>
  <c r="B14" i="6" l="1" a="1"/>
  <c r="B14" i="6" s="1"/>
  <c r="D14" i="6" s="1" a="1"/>
  <c r="D14" i="6" s="1"/>
  <c r="B12" i="6" a="1"/>
  <c r="B12" i="6" s="1"/>
  <c r="F26" i="6"/>
  <c r="D26" i="6" a="1"/>
  <c r="D26" i="6" s="1"/>
  <c r="C26" i="6" s="1"/>
  <c r="F19" i="6"/>
  <c r="D19" i="6" a="1"/>
  <c r="D19" i="6" s="1"/>
  <c r="C19" i="6" s="1"/>
  <c r="F18" i="6"/>
  <c r="D18" i="6" a="1"/>
  <c r="D18" i="6" s="1"/>
  <c r="C18" i="6" s="1"/>
  <c r="F21" i="6"/>
  <c r="D21" i="6" a="1"/>
  <c r="D21" i="6" s="1"/>
  <c r="C21" i="6" s="1"/>
  <c r="F28" i="6"/>
  <c r="D28" i="6" a="1"/>
  <c r="D28" i="6" s="1"/>
  <c r="C28" i="6" s="1"/>
  <c r="F24" i="6"/>
  <c r="D24" i="6" a="1"/>
  <c r="D24" i="6" s="1"/>
  <c r="C24" i="6" s="1"/>
  <c r="F17" i="6"/>
  <c r="D17" i="6" a="1"/>
  <c r="D17" i="6" s="1"/>
  <c r="C17" i="6" s="1"/>
  <c r="F20" i="6"/>
  <c r="D20" i="6" a="1"/>
  <c r="D20" i="6" s="1"/>
  <c r="C20" i="6" s="1"/>
  <c r="F27" i="6"/>
  <c r="D27" i="6" a="1"/>
  <c r="D27" i="6" s="1"/>
  <c r="C27" i="6" s="1"/>
  <c r="F22" i="6"/>
  <c r="D22" i="6" a="1"/>
  <c r="D22" i="6" s="1"/>
  <c r="C22" i="6" s="1"/>
  <c r="B25" i="6"/>
  <c r="B36" i="6" a="1"/>
  <c r="B36" i="6" s="1"/>
  <c r="F36" i="6" s="1"/>
  <c r="D11" i="6" a="1"/>
  <c r="D11" i="6" s="1"/>
  <c r="C11" i="6" s="1"/>
  <c r="B33" i="6" a="1"/>
  <c r="B33" i="6" s="1"/>
  <c r="C33" i="6" s="1"/>
  <c r="F15" i="6"/>
  <c r="B16" i="6" a="1"/>
  <c r="B16" i="6" s="1"/>
  <c r="C42" i="6"/>
  <c r="B13" i="6" a="1"/>
  <c r="B13" i="6" s="1"/>
  <c r="F38" i="6"/>
  <c r="C38" i="6"/>
  <c r="F32" i="6"/>
  <c r="C32" i="6"/>
  <c r="C34" i="6"/>
  <c r="F34" i="6"/>
  <c r="F37" i="6"/>
  <c r="C37" i="6"/>
  <c r="B30" i="6" a="1"/>
  <c r="B30" i="6" s="1"/>
  <c r="C46" i="6" s="1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F14" i="6" l="1"/>
  <c r="L20" i="6"/>
  <c r="L19" i="6"/>
  <c r="F13" i="6"/>
  <c r="D13" i="6" a="1"/>
  <c r="D13" i="6" s="1"/>
  <c r="C13" i="6" s="1"/>
  <c r="F25" i="6"/>
  <c r="D25" i="6" a="1"/>
  <c r="D25" i="6" s="1"/>
  <c r="C25" i="6" s="1"/>
  <c r="F16" i="6"/>
  <c r="D16" i="6" a="1"/>
  <c r="D16" i="6" s="1"/>
  <c r="C16" i="6" s="1"/>
  <c r="F12" i="6"/>
  <c r="D12" i="6" a="1"/>
  <c r="D12" i="6" s="1"/>
  <c r="F11" i="6"/>
  <c r="C36" i="6"/>
  <c r="C45" i="6" s="1"/>
  <c r="C44" i="6"/>
  <c r="F33" i="6"/>
  <c r="C43" i="6"/>
  <c r="C15" i="6"/>
  <c r="C14" i="6"/>
  <c r="D30" i="6"/>
  <c r="C30" i="6" s="1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S23" i="6" l="1"/>
  <c r="G28" i="6"/>
  <c r="G47" i="6"/>
  <c r="C12" i="6"/>
  <c r="G12" i="6"/>
  <c r="G37" i="6"/>
  <c r="G11" i="6"/>
  <c r="G18" i="6"/>
  <c r="G32" i="6"/>
  <c r="G13" i="6"/>
  <c r="G19" i="6"/>
  <c r="G14" i="6"/>
  <c r="G26" i="6"/>
  <c r="G22" i="6"/>
  <c r="G38" i="6"/>
  <c r="M20" i="6"/>
  <c r="G27" i="6"/>
  <c r="G24" i="6"/>
  <c r="G15" i="6"/>
  <c r="G21" i="6"/>
  <c r="G16" i="6"/>
  <c r="G20" i="6"/>
  <c r="G25" i="6"/>
  <c r="G17" i="6"/>
  <c r="G36" i="6"/>
  <c r="G33" i="6"/>
  <c r="G34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R23" i="6"/>
  <c r="N23" i="6"/>
  <c r="L23" i="6"/>
  <c r="R11" i="6"/>
  <c r="S11" i="6" s="1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J26" i="6"/>
  <c r="K26" i="6" s="1"/>
  <c r="A123" i="7"/>
  <c r="D123" i="7" s="1"/>
  <c r="L27" i="6"/>
  <c r="M27" i="6" s="1"/>
  <c r="N27" i="6"/>
  <c r="O27" i="6" s="1"/>
  <c r="L28" i="6"/>
  <c r="M28" i="6" s="1"/>
  <c r="N28" i="6"/>
  <c r="O28" i="6" s="1"/>
  <c r="P28" i="6"/>
  <c r="Q28" i="6" s="1"/>
  <c r="R28" i="6"/>
  <c r="S28" i="6" s="1"/>
  <c r="H28" i="6"/>
  <c r="I28" i="6" s="1"/>
  <c r="J28" i="6"/>
  <c r="K28" i="6" s="1"/>
  <c r="H27" i="6"/>
  <c r="I27" i="6" s="1"/>
  <c r="R25" i="6"/>
  <c r="S25" i="6" s="1"/>
  <c r="J25" i="6"/>
  <c r="K25" i="6" s="1"/>
  <c r="H25" i="6"/>
  <c r="I25" i="6" s="1"/>
  <c r="P25" i="6"/>
  <c r="Q25" i="6" s="1"/>
  <c r="N24" i="6"/>
  <c r="J24" i="6"/>
  <c r="K24" i="6" s="1"/>
  <c r="J27" i="6"/>
  <c r="K27" i="6" s="1"/>
  <c r="P27" i="6"/>
  <c r="Q27" i="6" s="1"/>
  <c r="R27" i="6"/>
  <c r="S27" i="6" s="1"/>
  <c r="N25" i="6"/>
  <c r="O25" i="6" s="1"/>
  <c r="N26" i="6"/>
  <c r="O26" i="6" s="1"/>
  <c r="R26" i="6"/>
  <c r="S26" i="6" s="1"/>
  <c r="H26" i="6"/>
  <c r="I26" i="6" s="1"/>
  <c r="P26" i="6"/>
  <c r="Q26" i="6" s="1"/>
  <c r="L26" i="6"/>
  <c r="M26" i="6" s="1"/>
  <c r="L25" i="6"/>
  <c r="M25" i="6" s="1"/>
  <c r="R24" i="6"/>
  <c r="S24" i="6" s="1"/>
  <c r="P24" i="6"/>
  <c r="Q24" i="6" s="1"/>
  <c r="L24" i="6"/>
  <c r="M24" i="6" s="1"/>
  <c r="H24" i="6"/>
  <c r="I24" i="6" s="1"/>
  <c r="H11" i="6"/>
  <c r="I11" i="6" s="1"/>
  <c r="J11" i="6"/>
  <c r="K11" i="6" s="1"/>
  <c r="L11" i="6"/>
  <c r="N11" i="6"/>
  <c r="P11" i="6"/>
  <c r="Q11" i="6" l="1"/>
  <c r="B30" i="7" s="1"/>
  <c r="B131" i="7"/>
  <c r="B124" i="7"/>
  <c r="O11" i="6"/>
  <c r="B29" i="7" s="1"/>
  <c r="M11" i="6"/>
  <c r="B28" i="7" s="1"/>
  <c r="B138" i="7"/>
  <c r="B110" i="7"/>
  <c r="B95" i="7"/>
  <c r="A134" i="7"/>
  <c r="D134" i="7" s="1"/>
  <c r="A117" i="7"/>
  <c r="D117" i="7" s="1"/>
  <c r="B117" i="7"/>
  <c r="A27" i="7"/>
  <c r="D27" i="7" s="1"/>
  <c r="B2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2" i="7"/>
  <c r="D202" i="7"/>
  <c r="B26" i="7" l="1"/>
  <c r="B203" i="7"/>
  <c r="A203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4" i="7"/>
  <c r="E14" i="7" s="1" a="1"/>
  <c r="E14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A17" i="7"/>
  <c r="D17" i="7" s="1"/>
  <c r="A18" i="7"/>
  <c r="D18" i="7" s="1"/>
  <c r="A10" i="7"/>
  <c r="D10" i="7" s="1"/>
  <c r="A11" i="7"/>
  <c r="D11" i="7" s="1"/>
  <c r="A12" i="7"/>
  <c r="D12" i="7" s="1"/>
  <c r="A13" i="7"/>
  <c r="D13" i="7" s="1"/>
  <c r="A14" i="7"/>
  <c r="D14" i="7" s="1"/>
  <c r="A15" i="7"/>
  <c r="D15" i="7" s="1"/>
  <c r="A16" i="7"/>
  <c r="D16" i="7" s="1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A32" i="7"/>
  <c r="A46" i="7"/>
  <c r="A53" i="7"/>
  <c r="A60" i="7"/>
  <c r="A67" i="7"/>
  <c r="A74" i="7"/>
  <c r="A81" i="7"/>
  <c r="A88" i="7"/>
  <c r="A95" i="7"/>
  <c r="D95" i="7" l="1"/>
  <c r="L21" i="6"/>
  <c r="M21" i="6" s="1"/>
  <c r="J21" i="6"/>
  <c r="K21" i="6" s="1"/>
  <c r="R21" i="6"/>
  <c r="S21" i="6" s="1"/>
  <c r="H21" i="6"/>
  <c r="I21" i="6" s="1"/>
  <c r="P21" i="6"/>
  <c r="Q21" i="6" s="1"/>
  <c r="N21" i="6"/>
  <c r="O21" i="6" s="1"/>
  <c r="J20" i="6"/>
  <c r="K20" i="6" s="1"/>
  <c r="P20" i="6"/>
  <c r="Q20" i="6" s="1"/>
  <c r="H20" i="6"/>
  <c r="I20" i="6" s="1"/>
  <c r="N20" i="6"/>
  <c r="O20" i="6" s="1"/>
  <c r="D88" i="7"/>
  <c r="R20" i="6"/>
  <c r="S20" i="6" s="1"/>
  <c r="P19" i="6"/>
  <c r="Q19" i="6" s="1"/>
  <c r="J19" i="6"/>
  <c r="K19" i="6" s="1"/>
  <c r="D81" i="7"/>
  <c r="N19" i="6"/>
  <c r="O19" i="6" s="1"/>
  <c r="H19" i="6"/>
  <c r="I19" i="6" s="1"/>
  <c r="R19" i="6"/>
  <c r="S19" i="6" s="1"/>
  <c r="M19" i="6"/>
  <c r="N18" i="6"/>
  <c r="O18" i="6" s="1"/>
  <c r="J18" i="6"/>
  <c r="K18" i="6" s="1"/>
  <c r="R18" i="6"/>
  <c r="S18" i="6" s="1"/>
  <c r="P18" i="6"/>
  <c r="Q18" i="6" s="1"/>
  <c r="H18" i="6"/>
  <c r="I18" i="6" s="1"/>
  <c r="L18" i="6"/>
  <c r="M18" i="6" s="1"/>
  <c r="D74" i="7"/>
  <c r="P17" i="6"/>
  <c r="Q17" i="6" s="1"/>
  <c r="L17" i="6"/>
  <c r="M17" i="6" s="1"/>
  <c r="H17" i="6"/>
  <c r="I17" i="6" s="1"/>
  <c r="N17" i="6"/>
  <c r="O17" i="6" s="1"/>
  <c r="J17" i="6"/>
  <c r="K17" i="6" s="1"/>
  <c r="D67" i="7"/>
  <c r="R17" i="6"/>
  <c r="S17" i="6" s="1"/>
  <c r="H16" i="6"/>
  <c r="I16" i="6" s="1"/>
  <c r="N16" i="6"/>
  <c r="O16" i="6" s="1"/>
  <c r="P16" i="6"/>
  <c r="Q16" i="6" s="1"/>
  <c r="D60" i="7"/>
  <c r="J16" i="6"/>
  <c r="K16" i="6" s="1"/>
  <c r="L16" i="6"/>
  <c r="M16" i="6" s="1"/>
  <c r="R16" i="6"/>
  <c r="S16" i="6" s="1"/>
  <c r="D53" i="7"/>
  <c r="L15" i="6"/>
  <c r="M15" i="6" s="1"/>
  <c r="N15" i="6"/>
  <c r="O15" i="6" s="1"/>
  <c r="H15" i="6"/>
  <c r="I15" i="6" s="1"/>
  <c r="R15" i="6"/>
  <c r="S15" i="6" s="1"/>
  <c r="P15" i="6"/>
  <c r="Q15" i="6" s="1"/>
  <c r="J15" i="6"/>
  <c r="K15" i="6" s="1"/>
  <c r="P14" i="6"/>
  <c r="Q14" i="6" s="1"/>
  <c r="D46" i="7"/>
  <c r="N14" i="6"/>
  <c r="O14" i="6" s="1"/>
  <c r="H14" i="6"/>
  <c r="I14" i="6" s="1"/>
  <c r="R14" i="6"/>
  <c r="S14" i="6" s="1"/>
  <c r="J14" i="6"/>
  <c r="K14" i="6" s="1"/>
  <c r="L14" i="6"/>
  <c r="M14" i="6" s="1"/>
  <c r="P13" i="6"/>
  <c r="Q13" i="6" s="1"/>
  <c r="J13" i="6"/>
  <c r="K13" i="6" s="1"/>
  <c r="D39" i="7"/>
  <c r="R13" i="6"/>
  <c r="S13" i="6" s="1"/>
  <c r="H13" i="6"/>
  <c r="I13" i="6" s="1"/>
  <c r="L13" i="6"/>
  <c r="M13" i="6" s="1"/>
  <c r="N13" i="6"/>
  <c r="O13" i="6" s="1"/>
  <c r="J12" i="6"/>
  <c r="K12" i="6" s="1"/>
  <c r="R12" i="6"/>
  <c r="S12" i="6" s="1"/>
  <c r="P12" i="6"/>
  <c r="Q12" i="6" s="1"/>
  <c r="N12" i="6"/>
  <c r="O12" i="6" s="1"/>
  <c r="L12" i="6"/>
  <c r="M12" i="6" s="1"/>
  <c r="D32" i="7"/>
  <c r="H12" i="6"/>
  <c r="I12" i="6" s="1"/>
  <c r="B45" i="7" l="1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J22" i="6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L22" i="6"/>
  <c r="R22" i="6"/>
  <c r="S22" i="6" s="1"/>
  <c r="B68" i="7"/>
  <c r="H22" i="6"/>
  <c r="I22" i="6" s="1"/>
  <c r="B82" i="7"/>
  <c r="N22" i="6"/>
  <c r="P22" i="6"/>
  <c r="Q22" i="6" s="1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B128" i="7" l="1"/>
  <c r="B107" i="7"/>
  <c r="B141" i="7"/>
  <c r="O22" i="6"/>
  <c r="B106" i="7" s="1"/>
  <c r="O24" i="6"/>
  <c r="B113" i="7" s="1"/>
  <c r="B133" i="7"/>
  <c r="M22" i="6"/>
  <c r="B105" i="7" s="1"/>
  <c r="B139" i="7"/>
  <c r="K22" i="6"/>
  <c r="B104" i="7" s="1"/>
  <c r="B136" i="7"/>
  <c r="B112" i="7"/>
  <c r="B119" i="7"/>
  <c r="B143" i="7"/>
  <c r="B134" i="7"/>
  <c r="B115" i="7"/>
  <c r="B135" i="7"/>
  <c r="A103" i="7"/>
  <c r="D103" i="7" s="1"/>
  <c r="B127" i="7"/>
  <c r="B114" i="7"/>
  <c r="B129" i="7"/>
  <c r="B121" i="7"/>
  <c r="B111" i="7"/>
  <c r="B122" i="7"/>
  <c r="B142" i="7"/>
  <c r="B125" i="7"/>
  <c r="B118" i="7"/>
  <c r="B126" i="7"/>
  <c r="B120" i="7"/>
  <c r="A104" i="7"/>
  <c r="D104" i="7" s="1"/>
  <c r="B132" i="7"/>
  <c r="B140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N33" i="6"/>
  <c r="O33" i="6" s="1"/>
  <c r="J32" i="6"/>
  <c r="K32" i="6" s="1"/>
  <c r="B26" i="8" a="1"/>
  <c r="P37" i="6"/>
  <c r="Q37" i="6" s="1"/>
  <c r="L34" i="6"/>
  <c r="M34" i="6" s="1"/>
  <c r="B19" i="7"/>
  <c r="E19" i="7" s="1"/>
  <c r="C57" i="8"/>
  <c r="N37" i="6"/>
  <c r="O37" i="6" s="1"/>
  <c r="A180" i="7"/>
  <c r="D180" i="7" s="1"/>
  <c r="J37" i="6"/>
  <c r="H34" i="6"/>
  <c r="I34" i="6" s="1"/>
  <c r="N36" i="6"/>
  <c r="H33" i="6"/>
  <c r="C58" i="8"/>
  <c r="B20" i="7"/>
  <c r="E20" i="7" s="1"/>
  <c r="N38" i="6"/>
  <c r="O38" i="6" s="1"/>
  <c r="B173" i="7"/>
  <c r="J36" i="6"/>
  <c r="K36" i="6" s="1"/>
  <c r="H32" i="6"/>
  <c r="H36" i="6"/>
  <c r="I36" i="6" s="1"/>
  <c r="L36" i="6"/>
  <c r="P33" i="6"/>
  <c r="N34" i="6"/>
  <c r="P38" i="6"/>
  <c r="Q38" i="6" s="1"/>
  <c r="L32" i="6"/>
  <c r="M32" i="6" s="1"/>
  <c r="L33" i="6"/>
  <c r="M33" i="6" s="1"/>
  <c r="B24" i="7"/>
  <c r="E24" i="7" s="1"/>
  <c r="C62" i="8"/>
  <c r="A159" i="7"/>
  <c r="D159" i="7" s="1"/>
  <c r="G41" i="6"/>
  <c r="B195" i="7" s="1"/>
  <c r="B166" i="7"/>
  <c r="A166" i="7"/>
  <c r="D166" i="7" s="1"/>
  <c r="L37" i="6"/>
  <c r="L38" i="6"/>
  <c r="P36" i="6"/>
  <c r="C61" i="8"/>
  <c r="B23" i="7"/>
  <c r="E23" i="7" s="1"/>
  <c r="J38" i="6"/>
  <c r="K38" i="6" s="1"/>
  <c r="P32" i="6"/>
  <c r="Q32" i="6" s="1"/>
  <c r="B145" i="7"/>
  <c r="J33" i="6"/>
  <c r="K33" i="6" s="1"/>
  <c r="N32" i="6"/>
  <c r="O32" i="6" s="1"/>
  <c r="B22" i="7"/>
  <c r="E22" i="7" s="1"/>
  <c r="C60" i="8"/>
  <c r="J34" i="6"/>
  <c r="C59" i="8"/>
  <c r="B21" i="7"/>
  <c r="E21" i="7" s="1"/>
  <c r="A173" i="7"/>
  <c r="D173" i="7" s="1"/>
  <c r="H37" i="6"/>
  <c r="I37" i="6" s="1"/>
  <c r="H38" i="6"/>
  <c r="B180" i="7"/>
  <c r="P34" i="6"/>
  <c r="A145" i="7"/>
  <c r="D145" i="7" s="1"/>
  <c r="R36" i="6"/>
  <c r="S36" i="6" s="1"/>
  <c r="R37" i="6"/>
  <c r="S37" i="6" s="1"/>
  <c r="A152" i="7"/>
  <c r="D152" i="7" s="1"/>
  <c r="B152" i="7"/>
  <c r="R33" i="6"/>
  <c r="S33" i="6" s="1"/>
  <c r="R34" i="6"/>
  <c r="S34" i="6" s="1"/>
  <c r="R32" i="6"/>
  <c r="S32" i="6" s="1"/>
  <c r="R38" i="6"/>
  <c r="S38" i="6" s="1"/>
  <c r="A157" i="7" l="1"/>
  <c r="D157" i="7" s="1"/>
  <c r="Q33" i="6"/>
  <c r="A164" i="7"/>
  <c r="D164" i="7" s="1"/>
  <c r="Q34" i="6"/>
  <c r="B164" i="7" s="1"/>
  <c r="A163" i="7"/>
  <c r="D163" i="7" s="1"/>
  <c r="O34" i="6"/>
  <c r="B163" i="7" s="1"/>
  <c r="A179" i="7"/>
  <c r="D179" i="7" s="1"/>
  <c r="B179" i="7"/>
  <c r="Q36" i="6"/>
  <c r="B171" i="7" s="1"/>
  <c r="A146" i="7"/>
  <c r="D146" i="7" s="1"/>
  <c r="I32" i="6"/>
  <c r="I38" i="6"/>
  <c r="B181" i="7" s="1"/>
  <c r="B186" i="7"/>
  <c r="I33" i="6"/>
  <c r="B153" i="7" s="1"/>
  <c r="O36" i="6"/>
  <c r="B170" i="7" s="1"/>
  <c r="M36" i="6"/>
  <c r="B169" i="7" s="1"/>
  <c r="M38" i="6"/>
  <c r="B183" i="7" s="1"/>
  <c r="K37" i="6"/>
  <c r="B175" i="7" s="1"/>
  <c r="K34" i="6"/>
  <c r="B161" i="7" s="1"/>
  <c r="M37" i="6"/>
  <c r="B176" i="7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0" i="7"/>
  <c r="D170" i="7" s="1"/>
  <c r="A176" i="7"/>
  <c r="D176" i="7" s="1"/>
  <c r="A147" i="7"/>
  <c r="D147" i="7" s="1"/>
  <c r="A183" i="7"/>
  <c r="D183" i="7" s="1"/>
  <c r="A168" i="7"/>
  <c r="D168" i="7" s="1"/>
  <c r="B168" i="7"/>
  <c r="A162" i="7"/>
  <c r="D162" i="7" s="1"/>
  <c r="B162" i="7"/>
  <c r="A171" i="7"/>
  <c r="D171" i="7" s="1"/>
  <c r="B160" i="7"/>
  <c r="A178" i="7"/>
  <c r="D178" i="7" s="1"/>
  <c r="B178" i="7"/>
  <c r="A158" i="7"/>
  <c r="D158" i="7" s="1"/>
  <c r="B158" i="7"/>
  <c r="A184" i="7"/>
  <c r="D184" i="7" s="1"/>
  <c r="B184" i="7"/>
  <c r="A169" i="7"/>
  <c r="D169" i="7" s="1"/>
  <c r="A148" i="7"/>
  <c r="D148" i="7" s="1"/>
  <c r="B167" i="7"/>
  <c r="A154" i="7"/>
  <c r="D154" i="7" s="1"/>
  <c r="A155" i="7"/>
  <c r="D155" i="7" s="1"/>
  <c r="B155" i="7"/>
  <c r="A175" i="7"/>
  <c r="D175" i="7" s="1"/>
  <c r="A172" i="7"/>
  <c r="D172" i="7" s="1"/>
  <c r="B172" i="7"/>
  <c r="A185" i="7"/>
  <c r="D185" i="7" s="1"/>
  <c r="B185" i="7"/>
  <c r="A167" i="7"/>
  <c r="D167" i="7" s="1"/>
  <c r="A156" i="7"/>
  <c r="D156" i="7" s="1"/>
  <c r="B156" i="7"/>
  <c r="A149" i="7"/>
  <c r="D149" i="7" s="1"/>
  <c r="A177" i="7"/>
  <c r="D177" i="7" s="1"/>
  <c r="B177" i="7"/>
  <c r="A182" i="7"/>
  <c r="D182" i="7" s="1"/>
  <c r="B182" i="7"/>
  <c r="A151" i="7"/>
  <c r="D151" i="7" s="1"/>
  <c r="B174" i="7"/>
  <c r="D36" i="8" a="1"/>
  <c r="D36" i="8" s="1"/>
  <c r="A161" i="7"/>
  <c r="D161" i="7" s="1"/>
  <c r="B150" i="7"/>
  <c r="A150" i="7"/>
  <c r="D150" i="7" s="1"/>
  <c r="A160" i="7"/>
  <c r="D160" i="7" s="1"/>
  <c r="B26" i="8"/>
  <c r="H33" i="8" s="1" a="1"/>
  <c r="H33" i="8" s="1"/>
  <c r="B159" i="7"/>
  <c r="F36" i="8" l="1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200" i="7" s="1"/>
  <c r="B157" i="7"/>
  <c r="K41" i="6"/>
  <c r="B197" i="7" s="1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201" i="7" s="1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G26" i="8" a="1"/>
  <c r="G26" i="8" s="1"/>
  <c r="C26" i="8" a="1"/>
  <c r="C26" i="8" s="1"/>
  <c r="E26" i="8" a="1"/>
  <c r="E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O41" i="6"/>
  <c r="B199" i="7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<sst xmlns="http://schemas.openxmlformats.org/spreadsheetml/2006/main" count="205" uniqueCount="118">
  <si>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</si>
  <si>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</si>
  <si>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</si>
  <si>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</si>
  <si>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</si>
  <si>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</si>
  <si>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</si>
  <si>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</si>
  <si>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</si>
  <si>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</si>
  <si>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</si>
  <si>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</si>
  <si>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</si>
  <si>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</si>
  <si>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</si>
  <si>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</si>
  <si>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</si>
  <si>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</si>
  <si>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</si>
  <si>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</si>
  <si>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</si>
  <si>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</si>
  <si>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</si>
  <si>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</si>
  <si>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</si>
  <si>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</si>
  <si>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</si>
  <si>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</si>
  <si>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</si>
  <si>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</si>
  <si>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</si>
  <si>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</si>
  <si>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</si>
  <si>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</si>
  <si>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</si>
  <si>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</si>
  <si>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>HDF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</si>
  <si>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</si>
  <si>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</si>
  <si>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</si>
  <si>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</si>
  <si>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</si>
  <si>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</si>
  <si>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</si>
  <si>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</si>
  <si>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</si>
  <si>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</si>
  <si>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</si>
  <si>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</si>
  <si>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</si>
  <si>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</si>
  <si>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</si>
  <si>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</si>
  <si>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</si>
  <si>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</si>
  <si>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</si>
  <si>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</si>
  <si>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</si>
  <si>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</si>
  <si>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</si>
  <si>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</si>
  <si>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</si>
  <si>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</si>
  <si>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</si>
  <si>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</si>
  <si>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</si>
  <si>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</si>
  <si>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</si>
  <si>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</si>
  <si>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</si>
  <si>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</si>
  <si>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</si>
  <si>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</si>
  <si>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</si>
  <si>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</si>
  <si>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Cant 43/1.5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</si>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</sst>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65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1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0" borderId="14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40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6" borderId="0" xfId="0" applyFont="1" applyFill="1"/>
    <xf numFmtId="0" fontId="2" fillId="6" borderId="22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0" fontId="2" fillId="0" borderId="46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3" fillId="8" borderId="13" xfId="0" applyFont="1" applyFill="1" applyBorder="1" applyAlignment="1">
      <alignment horizontal="center"/>
    </xf>
    <xf numFmtId="0" fontId="2" fillId="8" borderId="40" xfId="0" applyFont="1" applyFill="1" applyBorder="1" applyAlignment="1">
      <alignment horizontal="center"/>
    </xf>
    <xf numFmtId="0" fontId="2" fillId="8" borderId="9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8" borderId="39" xfId="0" applyFont="1" applyFill="1" applyBorder="1" applyAlignment="1">
      <alignment horizontal="center"/>
    </xf>
    <xf numFmtId="0" fontId="0" fillId="8" borderId="17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8" borderId="21" xfId="0" applyFont="1" applyFill="1" applyBorder="1" applyAlignment="1">
      <alignment horizontal="center"/>
    </xf>
    <xf numFmtId="0" fontId="2" fillId="8" borderId="2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2" fillId="4" borderId="22" xfId="0" applyFont="1" applyFill="1" applyBorder="1" applyAlignment="1">
      <alignment horizontal="center"/>
    </xf>
    <xf numFmtId="0" fontId="2" fillId="4" borderId="40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0" fillId="0" borderId="47" xfId="0" applyBorder="1"/>
    <xf numFmtId="0" fontId="0" fillId="0" borderId="3" xfId="0" applyBorder="1"/>
    <xf numFmtId="0" fontId="2" fillId="0" borderId="48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4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2" fillId="4" borderId="47" xfId="0" applyFont="1" applyFill="1" applyBorder="1" applyAlignment="1" applyProtection="1">
      <alignment horizontal="center"/>
      <protection locked="0"/>
    </xf>
    <xf numFmtId="0" fontId="2" fillId="4" borderId="41" xfId="0" applyFont="1" applyFill="1" applyBorder="1" applyAlignment="1">
      <alignment horizontal="center"/>
    </xf>
    <xf numFmtId="0" fontId="2" fillId="3" borderId="41" xfId="0" applyFont="1" applyFill="1" applyBorder="1" applyAlignment="1">
      <alignment horizontal="center"/>
    </xf>
    <xf numFmtId="0" fontId="2" fillId="2" borderId="49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0" borderId="49" xfId="0" applyFont="1" applyBorder="1" applyAlignment="1">
      <alignment horizontal="center"/>
    </xf>
    <xf numFmtId="0" fontId="0" fillId="0" borderId="51" xfId="0" applyBorder="1"/>
    <xf numFmtId="0" fontId="0" fillId="0" borderId="50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52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8" borderId="6" xfId="0" applyFont="1" applyFill="1" applyBorder="1" applyAlignment="1">
      <alignment horizontal="center"/>
    </xf>
    <xf numFmtId="0" fontId="2" fillId="0" borderId="53" xfId="0" applyFont="1" applyBorder="1" applyAlignment="1">
      <alignment horizontal="center"/>
    </xf>
    <xf numFmtId="0" fontId="2" fillId="0" borderId="54" xfId="0" applyFont="1" applyBorder="1" applyAlignment="1">
      <alignment horizontal="center"/>
    </xf>
    <xf numFmtId="0" fontId="2" fillId="4" borderId="53" xfId="0" applyFont="1" applyFill="1" applyBorder="1" applyAlignment="1">
      <alignment horizontal="center"/>
    </xf>
    <xf numFmtId="0" fontId="2" fillId="4" borderId="54" xfId="0" applyFont="1" applyFill="1" applyBorder="1" applyAlignment="1">
      <alignment horizont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6" fillId="0" borderId="43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0" fontId="2" fillId="0" borderId="18" xfId="0" applyFont="1" applyBorder="1" applyAlignment="1">
      <alignment horizontal="left" vertical="top"/>
    </xf>
    <xf numFmtId="0" fontId="2" fillId="0" borderId="19" xfId="0" applyFont="1" applyBorder="1" applyAlignment="1">
      <alignment horizontal="left" vertical="top"/>
    </xf>
    <xf numFmtId="0" fontId="2" fillId="0" borderId="20" xfId="0" applyFont="1" applyBorder="1" applyAlignment="1">
      <alignment horizontal="left" vertical="top"/>
    </xf>
    <xf numFmtId="0" fontId="2" fillId="0" borderId="17" xfId="0" applyFont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12" xfId="0" applyFont="1" applyBorder="1" applyAlignment="1">
      <alignment horizontal="left" vertical="top"/>
    </xf>
    <xf numFmtId="0" fontId="2" fillId="0" borderId="21" xfId="0" applyFont="1" applyBorder="1" applyAlignment="1">
      <alignment horizontal="left" vertical="top"/>
    </xf>
    <xf numFmtId="0" fontId="2" fillId="0" borderId="22" xfId="0" applyFont="1" applyBorder="1" applyAlignment="1">
      <alignment horizontal="left" vertical="top"/>
    </xf>
    <xf numFmtId="0" fontId="2" fillId="0" borderId="23" xfId="0" applyFont="1" applyBorder="1" applyAlignment="1">
      <alignment horizontal="left" vertical="top"/>
    </xf>
    <xf numFmtId="0" fontId="3" fillId="0" borderId="24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4" xfId="0" applyFont="1" applyBorder="1" applyAlignment="1" applyProtection="1">
      <alignment horizontal="center" vertical="center"/>
      <protection locked="0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2" fillId="0" borderId="24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3" fillId="0" borderId="26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2" fillId="5" borderId="3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57"/>
  <sheetViews>
    <sheetView topLeftCell="A14" zoomScaleNormal="100" workbookViewId="0">
      <selection activeCell="S46" sqref="S46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34" t="s">
        <v>37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6"/>
      <c r="M1" s="38" t="s">
        <v>71</v>
      </c>
      <c r="N1" s="39" t="s">
        <v>65</v>
      </c>
      <c r="O1" s="219" t="s">
        <v>70</v>
      </c>
      <c r="P1" s="220"/>
      <c r="Q1" s="220"/>
      <c r="R1" s="220"/>
      <c r="S1" s="221"/>
    </row>
    <row r="2" spans="1:19" ht="18.75" thickBot="1">
      <c r="A2" s="17" t="s">
        <v>98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3"/>
      <c r="O2" s="222"/>
      <c r="P2" s="223"/>
      <c r="Q2" s="223"/>
      <c r="R2" s="223"/>
      <c r="S2" s="224"/>
    </row>
    <row r="3" spans="1:19">
      <c r="A3" s="20" t="s">
        <v>50</v>
      </c>
      <c r="B3" s="242"/>
      <c r="C3" s="243"/>
      <c r="D3" s="244"/>
      <c r="H3" s="20" t="s">
        <v>60</v>
      </c>
      <c r="I3" s="175"/>
      <c r="J3" s="176"/>
      <c r="K3" s="177"/>
      <c r="M3" s="27">
        <v>2</v>
      </c>
      <c r="N3" s="76"/>
      <c r="O3" s="237"/>
      <c r="P3" s="238"/>
      <c r="Q3" s="238"/>
      <c r="R3" s="238"/>
      <c r="S3" s="239"/>
    </row>
    <row r="4" spans="1:19">
      <c r="A4" s="21" t="s">
        <v>48</v>
      </c>
      <c r="B4" s="213"/>
      <c r="C4" s="214"/>
      <c r="D4" s="215"/>
      <c r="H4" s="21" t="s">
        <v>61</v>
      </c>
      <c r="I4" s="216"/>
      <c r="J4" s="217"/>
      <c r="K4" s="218"/>
      <c r="M4" s="27">
        <v>3</v>
      </c>
      <c r="N4" s="76"/>
      <c r="O4" s="237"/>
      <c r="P4" s="238"/>
      <c r="Q4" s="238"/>
      <c r="R4" s="238"/>
      <c r="S4" s="239"/>
    </row>
    <row r="5" spans="1:19">
      <c r="A5" s="21" t="s">
        <v>49</v>
      </c>
      <c r="B5" s="252"/>
      <c r="C5" s="253"/>
      <c r="D5" s="254"/>
      <c r="H5" s="21" t="s">
        <v>62</v>
      </c>
      <c r="I5" s="261"/>
      <c r="J5" s="238"/>
      <c r="K5" s="239"/>
      <c r="M5" s="27">
        <v>4</v>
      </c>
      <c r="N5" s="76"/>
      <c r="O5" s="237"/>
      <c r="P5" s="238"/>
      <c r="Q5" s="238"/>
      <c r="R5" s="238"/>
      <c r="S5" s="239"/>
    </row>
    <row r="6" spans="1:19" ht="15.75" thickBot="1">
      <c r="A6" s="22" t="s">
        <v>7</v>
      </c>
      <c r="B6" s="257"/>
      <c r="C6" s="258"/>
      <c r="D6" s="259"/>
      <c r="H6" s="22" t="s">
        <v>63</v>
      </c>
      <c r="I6" s="260"/>
      <c r="J6" s="226"/>
      <c r="K6" s="227"/>
      <c r="M6" s="28">
        <v>5</v>
      </c>
      <c r="N6" s="77"/>
      <c r="O6" s="225"/>
      <c r="P6" s="226"/>
      <c r="Q6" s="226"/>
      <c r="R6" s="226"/>
      <c r="S6" s="227"/>
    </row>
    <row r="7" spans="1:19" s="51" customFormat="1" ht="2.1" hidden="1" customHeight="1" thickBot="1"/>
    <row r="8" spans="1:19" ht="15.75" customHeight="1" thickBot="1">
      <c r="A8" s="181" t="s">
        <v>1</v>
      </c>
      <c r="B8" s="182"/>
      <c r="C8" s="182"/>
      <c r="D8" s="183"/>
      <c r="F8" s="228" t="s">
        <v>74</v>
      </c>
      <c r="G8" s="229"/>
      <c r="H8" s="229"/>
      <c r="I8" s="229"/>
      <c r="J8" s="229"/>
      <c r="K8" s="229"/>
      <c r="L8" s="229"/>
      <c r="M8" s="229"/>
      <c r="N8" s="229"/>
      <c r="O8" s="229"/>
      <c r="P8" s="229"/>
      <c r="Q8" s="229"/>
      <c r="R8" s="229"/>
      <c r="S8" s="230"/>
    </row>
    <row r="9" spans="1:19" ht="15.75" thickBot="1">
      <c r="A9" s="184"/>
      <c r="B9" s="185"/>
      <c r="C9" s="185"/>
      <c r="D9" s="186"/>
      <c r="F9" s="209" t="s">
        <v>28</v>
      </c>
      <c r="G9" s="210"/>
      <c r="H9" s="255" t="s">
        <v>29</v>
      </c>
      <c r="I9" s="256"/>
      <c r="J9" s="207" t="s">
        <v>16</v>
      </c>
      <c r="K9" s="208"/>
      <c r="L9" s="250" t="s">
        <v>19</v>
      </c>
      <c r="M9" s="251"/>
      <c r="N9" s="187" t="s">
        <v>82</v>
      </c>
      <c r="O9" s="188"/>
      <c r="P9" s="202" t="s">
        <v>69</v>
      </c>
      <c r="Q9" s="203"/>
      <c r="R9" s="187" t="s">
        <v>18</v>
      </c>
      <c r="S9" s="188"/>
    </row>
    <row r="10" spans="1:19" ht="15.75" thickBot="1">
      <c r="A10" s="240" t="s">
        <v>9</v>
      </c>
      <c r="B10" s="23" t="s">
        <v>64</v>
      </c>
      <c r="C10" s="23" t="s">
        <v>72</v>
      </c>
      <c r="D10" s="23" t="s">
        <v>52</v>
      </c>
      <c r="E10" s="2"/>
      <c r="F10" s="84" t="s">
        <v>64</v>
      </c>
      <c r="G10" s="84" t="s">
        <v>72</v>
      </c>
      <c r="H10" s="96" t="s">
        <v>64</v>
      </c>
      <c r="I10" s="96" t="s">
        <v>72</v>
      </c>
      <c r="J10" s="106" t="s">
        <v>64</v>
      </c>
      <c r="K10" s="106" t="s">
        <v>72</v>
      </c>
      <c r="L10" s="115" t="s">
        <v>64</v>
      </c>
      <c r="M10" s="115" t="s">
        <v>72</v>
      </c>
      <c r="N10" s="23" t="s">
        <v>64</v>
      </c>
      <c r="O10" s="23" t="s">
        <v>72</v>
      </c>
      <c r="P10" s="23" t="s">
        <v>64</v>
      </c>
      <c r="Q10" s="45" t="s">
        <v>72</v>
      </c>
      <c r="R10" s="23" t="s">
        <v>64</v>
      </c>
      <c r="S10" s="23" t="s">
        <v>72</v>
      </c>
    </row>
    <row r="11" spans="1:19">
      <c r="A11" s="179"/>
      <c r="B11" s="57" t="str">
        <f>IFERROR(INDEX(Deco!$Y$2:$Y$99,_xlfn.AGGREGATE(15,6,ROW(Deco!$Y$2:$Y$99)-ROW(Deco!$Y$2)+1/(Deco!$W$2:$W$99="PAL"),1)),"")</f>
        <v/>
      </c>
      <c r="C11" s="61" t="str">
        <f>IF(D11="buc",IF(B11&lt;&gt;"",INDEX(Deco!$C$2:$C$99,MATCH(B11,Deco!$Y$2:$Y$99,0)),""),IF(B11&lt;&gt;"",INDEX(Deco!$V$2:$V$99,MATCH(B11,Deco!$Y$2:$Y$99,0)),""))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5" t="str">
        <f>IF(
   OR(
      ISNUMBER(--RIGHT(B11,1)),
      RIGHT(B11,2)="SM",
      RIGHT(B11,2)="PM",
      RIGHT(B11,2)="PG",
      RIGHT(B11,2)="PA",
      RIGHT(B11,2)="MP"
   ),
   B11,
   IF(
      OR(RIGHT(B11,4)="16mm",RIGHT(B11,4)="10mm"),
      LEFT(B11,LEN(B11)-5),
      IF(
         RIGHT(B11,4)=" 8mm",
         LEFT(B11,LEN(B11)-4),
         LEFT(B11,7)
      )
   )
)</f>
        <v/>
      </c>
      <c r="G11" s="135" t="str">
        <f>IFERROR(IF(AND(F11&lt;&gt;"",SUMIFS(Cant!$I$2:$I$99,Cant!$M$2:$M$99,F11,Cant!$J$2:$J$99,"22/0.4")&gt;0),SUMIFS(Cant!$I$2:$I$99,Cant!$M$2:$M$99,F11,Cant!$J$2:$J$99,"22/0.4"),""),"")</f>
        <v/>
      </c>
      <c r="H11" s="97" t="str">
        <f>CONCATENATE(F11)</f>
        <v/>
      </c>
      <c r="I11" s="136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107" t="str">
        <f>CONCATENATE(F11)</f>
        <v/>
      </c>
      <c r="K11" s="137" t="str">
        <f>IFERROR(IF(AND(J11&lt;&gt;"",SUMIFS(Cant!$I$2:$I$99,Cant!$M$2:$M$99,J11,Cant!$J$2:$J$99,"23/0.8")&gt;0),SUMIFS(Cant!$I$2:$I$99,Cant!$M$2:$M$99,J11,Cant!$J$2:$J$99,"23/0.8"),""),"")</f>
        <v/>
      </c>
      <c r="L11" s="116" t="str">
        <f>CONCATENATE(F11)</f>
        <v/>
      </c>
      <c r="M11" s="138" t="str">
        <f>IFERROR(IF(AND(L11&lt;&gt;"",SUMIFS(Cant!$I$2:$I$99,Cant!$M$2:$M$99,L11,Cant!$J$2:$J$99,"23/2.0")&gt;0),SUMIFS(Cant!$I$2:$I$99,Cant!$M$2:$M$99,L11,Cant!$J$2:$J$99,"23/2.0"),""),"")</f>
        <v/>
      </c>
      <c r="N11" s="57" t="str">
        <f>CONCATENATE(F11)</f>
        <v/>
      </c>
      <c r="O11" s="139" t="str">
        <f>IFERROR(IF(AND(N11&lt;&gt;"",SUMIFS(Cant!$I$2:$I$99,Cant!$M$2:$M$99,N11,Cant!$J$2:$J$99,"43/1.0")&gt;0),SUMIFS(Cant!$I$2:$I$99,Cant!$M$2:$M$99,N11,Cant!$J$2:$J$99,"43/1.0"),""),"")</f>
        <v/>
      </c>
      <c r="P11" s="57" t="str">
        <f>CONCATENATE(F11)</f>
        <v/>
      </c>
      <c r="Q11" s="140" t="str">
        <f>IFERROR(IF(AND(P11&lt;&gt;"",SUMIFS(Cant!$I$2:$I$99,Cant!$M$2:$M$99,P11,Cant!$J$2:$J$99,"43/1.5")&gt;0),SUMIFS(Cant!$I$2:$I$99,Cant!$M$2:$M$99,P11,Cant!$J$2:$J$99,"43/1.5"),""),"")</f>
        <v/>
      </c>
      <c r="R11" s="57" t="str">
        <f>CONCATENATE(F11)</f>
        <v/>
      </c>
      <c r="S11" s="37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179"/>
      <c r="B12" s="133" t="str" cm="1">
        <f t="array" ref="B12">IFERROR(_xlfn.SINGLE(INDEX(Deco!$Y$2:$Y$99,_xlfn.AGGREGATE(15,6,ROW(Deco!$Y$2:$Y$99)-ROW(Deco!$Y$2)+1/(Deco!$W$2:$W$99="PAL"),2))),"")</f>
        <v/>
      </c>
      <c r="C12" s="134" t="str">
        <f>IF(D12="buc",IF(B12&lt;&gt;"",INDEX(Deco!$C$2:$C$99,MATCH(B12,Deco!$Y$2:$Y$99,0)),""),IF(B12&lt;&gt;"",INDEX(Deco!$V$2:$V$99,MATCH(B12,Deco!$Y$2:$Y$99,0)),""))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85" t="str">
        <f>IF(
   OR(
      ISNUMBER(--RIGHT(B12,1)),
      RIGHT(B12,2)="SM",
      RIGHT(B12,2)="PM",
      RIGHT(B12,2)="PG",
      RIGHT(B12,2)="PA",
      RIGHT(B12,2)="MP"
   ),
   B12,
   IF(
      OR(RIGHT(B12,4)="16mm",RIGHT(B12,4)="10mm"),
      LEFT(B12,LEN(B12)-5),
      IF(
         RIGHT(B12,4)=" 8mm",
         LEFT(B12,LEN(B12)-4),
         LEFT(B12,7)
      )
   )
)</f>
        <v/>
      </c>
      <c r="G12" s="135" t="str">
        <f>IF(AND(F12&lt;&gt;"",COUNTIF($F$11:F11,F12)&gt;0),"",IFERROR(IF(AND(F12&lt;&gt;"",SUMIFS(Cant!$I$2:$I$99,Cant!$M$2:$M$99,F12,Cant!$J$2:$J$99,"22/0.4")&gt;0),SUMIFS(Cant!$I$2:$I$99,Cant!$M$2:$M$99,F12,Cant!$J$2:$J$99,"22/0.4"),""),""))</f>
        <v/>
      </c>
      <c r="H12" s="98" t="str">
        <f>CONCATENATE(F12)</f>
        <v/>
      </c>
      <c r="I12" s="13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108" t="str">
        <f>CONCATENATE(F12)</f>
        <v/>
      </c>
      <c r="K12" s="137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117" t="str">
        <f>CONCATENATE(F12)</f>
        <v/>
      </c>
      <c r="M12" s="138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70" t="str">
        <f>CONCATENATE(F12)</f>
        <v/>
      </c>
      <c r="O12" s="139" t="str">
        <f>IF(AND(F12&lt;&gt;"",COUNTIF($F$11:F11,F12)&gt;0),"",IFERROR(IF(AND(N12&lt;&gt;"",SUMIFS(Cant!$I$2:$I$99,Cant!$M$2:$M$99,N12,Cant!$J$2:$J$99,"43/1.0")&gt;0),SUMIFS(Cant!$I$2:$I$99,Cant!$M$2:$M$99,N12,Cant!$J$2:$J$99,"43/1.0"),""),""))</f>
        <v/>
      </c>
      <c r="P12" s="70" t="str">
        <f>CONCATENATE(F12)</f>
        <v/>
      </c>
      <c r="Q12" s="140" t="str">
        <f>IF(AND(F12&lt;&gt;"",COUNTIF($F$11:F11,F12)&gt;0),"",IFERROR(IF(AND(P12&lt;&gt;"",SUMIFS(Cant!$I$2:$I$99,Cant!$M$2:$M$99,P12,Cant!$J$2:$J$99,"43/1.5")&gt;0),SUMIFS(Cant!$I$2:$I$99,Cant!$M$2:$M$99,P12,Cant!$J$2:$J$99,"43/1.5"),""),""))</f>
        <v/>
      </c>
      <c r="R12" s="70" t="str">
        <f>CONCATENATE(F12)</f>
        <v/>
      </c>
      <c r="S12" s="37" t="str">
        <f>IF(AND(F12&lt;&gt;"",COUNTIF($F$11:F11,F12)&gt;0),"",IFERROR(IF(AND(R12&lt;&gt;"",SUMIFS(Cant!$I$2:$I$99,Cant!$M$2:$M$99,R12,Cant!$J$2:$J$99,"43/2.0")&gt;0),SUMIFS(Cant!$I$2:$I$99,Cant!$M$2:$M$99,R12,Cant!$J$2:$J$99,"43/2.0"),""),""))</f>
        <v/>
      </c>
    </row>
    <row r="13" spans="1:19">
      <c r="A13" s="179"/>
      <c r="B13" s="133" t="str" cm="1">
        <f t="array" ref="B13">IFERROR(_xlfn.SINGLE(INDEX(Deco!$Y$2:$Y$99,_xlfn.AGGREGATE(15,6,ROW(Deco!$Y$2:$Y$99)-ROW(Deco!$Y$2)+1/(Deco!$W$2:$W$99="PAL"),3))),"")</f>
        <v/>
      </c>
      <c r="C13" s="134" t="str">
        <f>IF(D13="buc",IF(B13&lt;&gt;"",INDEX(Deco!$C$2:$C$99,MATCH(B13,Deco!$Y$2:$Y$99,0)),""),IF(B13&lt;&gt;"",INDEX(Deco!$V$2:$V$99,MATCH(B13,Deco!$Y$2:$Y$99,0)),""))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85" t="str">
        <f t="shared" ref="F13:F22" si="0">IF(
   OR(
      ISNUMBER(--RIGHT(B13,1)),
      RIGHT(B13,2)="SM",
      RIGHT(B13,2)="PM",
      RIGHT(B13,2)="PG",
      RIGHT(B13,2)="PA",
      RIGHT(B13,2)="MP"
   ),
   B13,
   IF(
      OR(RIGHT(B13,4)="16mm",RIGHT(B13,4)="10mm"),
      LEFT(B13,LEN(B13)-5),
      IF(
         RIGHT(B13,4)=" 8mm",
         LEFT(B13,LEN(B13)-4),
         LEFT(B13,7)
      )
   )
)</f>
        <v/>
      </c>
      <c r="G13" s="135" t="str">
        <f>IF(AND(F13&lt;&gt;"",COUNTIF($F$11:F12,F13)&gt;0),"",IFERROR(IF(AND(F13&lt;&gt;"",SUMIFS(Cant!$I$2:$I$99,Cant!$M$2:$M$99,F13,Cant!$J$2:$J$99,"22/0.4")&gt;0),SUMIFS(Cant!$I$2:$I$99,Cant!$M$2:$M$99,F13,Cant!$J$2:$J$99,"22/0.4"),""),""))</f>
        <v/>
      </c>
      <c r="H13" s="98" t="str">
        <f t="shared" ref="H13:H22" si="1">CONCATENATE(F13)</f>
        <v/>
      </c>
      <c r="I13" s="13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108" t="str">
        <f t="shared" ref="J13:J22" si="2">CONCATENATE(F13)</f>
        <v/>
      </c>
      <c r="K13" s="137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117" t="str">
        <f t="shared" ref="L13:L23" si="3">CONCATENATE(F13)</f>
        <v/>
      </c>
      <c r="M13" s="138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70" t="str">
        <f t="shared" ref="N13:N23" si="4">CONCATENATE(F13)</f>
        <v/>
      </c>
      <c r="O13" s="139" t="str">
        <f>IF(AND(F13&lt;&gt;"",COUNTIF($F$11:F12,F13)&gt;0),"",IFERROR(IF(AND(N13&lt;&gt;"",SUMIFS(Cant!$I$2:$I$99,Cant!$M$2:$M$99,N13,Cant!$J$2:$J$99,"43/1.0")&gt;0),SUMIFS(Cant!$I$2:$I$99,Cant!$M$2:$M$99,N13,Cant!$J$2:$J$99,"43/1.0"),""),""))</f>
        <v/>
      </c>
      <c r="P13" s="70" t="str">
        <f t="shared" ref="P13:P21" si="5">CONCATENATE(F13)</f>
        <v/>
      </c>
      <c r="Q13" s="140" t="str">
        <f>IF(AND(F13&lt;&gt;"",COUNTIF($F$11:F12,F13)&gt;0),"",IFERROR(IF(AND(P13&lt;&gt;"",SUMIFS(Cant!$I$2:$I$99,Cant!$M$2:$M$99,P13,Cant!$J$2:$J$99,"43/1.5")&gt;0),SUMIFS(Cant!$I$2:$I$99,Cant!$M$2:$M$99,P13,Cant!$J$2:$J$99,"43/1.5"),""),""))</f>
        <v/>
      </c>
      <c r="R13" s="70" t="str">
        <f t="shared" ref="R13:R23" si="6">CONCATENATE(F13)</f>
        <v/>
      </c>
      <c r="S13" s="37" t="str">
        <f>IF(AND(F13&lt;&gt;"",COUNTIF($F$11:F12,F13)&gt;0),"",IFERROR(IF(AND(R13&lt;&gt;"",SUMIFS(Cant!$I$2:$I$99,Cant!$M$2:$M$99,R13,Cant!$J$2:$J$99,"43/2.0")&gt;0),SUMIFS(Cant!$I$2:$I$99,Cant!$M$2:$M$99,R13,Cant!$J$2:$J$99,"43/2.0"),""),""))</f>
        <v/>
      </c>
    </row>
    <row r="14" spans="1:19">
      <c r="A14" s="179"/>
      <c r="B14" s="133" t="str" cm="1">
        <f t="array" ref="B14">IFERROR(_xlfn.SINGLE(INDEX(Deco!$Y$2:$Y$99,_xlfn.AGGREGATE(15,6,ROW(Deco!$Y$2:$Y$99)-ROW(Deco!$Y$2)+1/(Deco!$W$2:$W$99="PAL"),4))),"")</f>
        <v/>
      </c>
      <c r="C14" s="134" t="str">
        <f>IF(D14="buc",IF(B14&lt;&gt;"",INDEX(Deco!$C$2:$C$99,MATCH(B14,Deco!$Y$2:$Y$99,0)),""),IF(B14&lt;&gt;"",INDEX(Deco!$V$2:$V$99,MATCH(B14,Deco!$Y$2:$Y$99,0)),""))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85" t="str">
        <f t="shared" si="0"/>
        <v/>
      </c>
      <c r="G14" s="135" t="str">
        <f>IF(AND(F14&lt;&gt;"",COUNTIF($F$11:F13,F14)&gt;0),"",IFERROR(IF(AND(F14&lt;&gt;"",SUMIFS(Cant!$I$2:$I$99,Cant!$M$2:$M$99,F14,Cant!$J$2:$J$99,"22/0.4")&gt;0),SUMIFS(Cant!$I$2:$I$99,Cant!$M$2:$M$99,F14,Cant!$J$2:$J$99,"22/0.4"),""),""))</f>
        <v/>
      </c>
      <c r="H14" s="98" t="str">
        <f t="shared" si="1"/>
        <v/>
      </c>
      <c r="I14" s="13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108" t="str">
        <f t="shared" si="2"/>
        <v/>
      </c>
      <c r="K14" s="137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117" t="str">
        <f t="shared" si="3"/>
        <v/>
      </c>
      <c r="M14" s="138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70" t="str">
        <f t="shared" si="4"/>
        <v/>
      </c>
      <c r="O14" s="139" t="str">
        <f>IF(AND(F14&lt;&gt;"",COUNTIF($F$11:F13,F14)&gt;0),"",IFERROR(IF(AND(N14&lt;&gt;"",SUMIFS(Cant!$I$2:$I$99,Cant!$M$2:$M$99,N14,Cant!$J$2:$J$99,"43/1.0")&gt;0),SUMIFS(Cant!$I$2:$I$99,Cant!$M$2:$M$99,N14,Cant!$J$2:$J$99,"43/1.0"),""),""))</f>
        <v/>
      </c>
      <c r="P14" s="70" t="str">
        <f t="shared" si="5"/>
        <v/>
      </c>
      <c r="Q14" s="140" t="str">
        <f>IF(AND(F14&lt;&gt;"",COUNTIF($F$11:F13,F14)&gt;0),"",IFERROR(IF(AND(P14&lt;&gt;"",SUMIFS(Cant!$I$2:$I$99,Cant!$M$2:$M$99,P14,Cant!$J$2:$J$99,"43/1.5")&gt;0),SUMIFS(Cant!$I$2:$I$99,Cant!$M$2:$M$99,P14,Cant!$J$2:$J$99,"43/1.5"),""),""))</f>
        <v/>
      </c>
      <c r="R14" s="70" t="str">
        <f t="shared" si="6"/>
        <v/>
      </c>
      <c r="S14" s="37" t="str">
        <f>IF(AND(F14&lt;&gt;"",COUNTIF($F$11:F13,F14)&gt;0),"",IFERROR(IF(AND(R14&lt;&gt;"",SUMIFS(Cant!$I$2:$I$99,Cant!$M$2:$M$99,R14,Cant!$J$2:$J$99,"43/2.0")&gt;0),SUMIFS(Cant!$I$2:$I$99,Cant!$M$2:$M$99,R14,Cant!$J$2:$J$99,"43/2.0"),""),""))</f>
        <v/>
      </c>
    </row>
    <row r="15" spans="1:19">
      <c r="A15" s="179"/>
      <c r="B15" s="133" t="str" cm="1">
        <f t="array" ref="B15">IFERROR(_xlfn.SINGLE(INDEX(Deco!$Y$2:$Y$99,_xlfn.AGGREGATE(15,6,ROW(Deco!$Y$2:$Y$99)-ROW(Deco!$Y$2)+1/(Deco!$W$2:$W$99="PAL"),5))),"")</f>
        <v/>
      </c>
      <c r="C15" s="134" t="str">
        <f>IF(D15="buc",IF(B15&lt;&gt;"",INDEX(Deco!$C$2:$C$99,MATCH(B15,Deco!$Y$2:$Y$99,0)),""),IF(B15&lt;&gt;"",INDEX(Deco!$V$2:$V$99,MATCH(B15,Deco!$Y$2:$Y$99,0)),""))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85" t="str">
        <f t="shared" si="0"/>
        <v/>
      </c>
      <c r="G15" s="135" t="str">
        <f>IF(AND(F15&lt;&gt;"",COUNTIF($F$11:F14,F15)&gt;0),"",IFERROR(IF(AND(F15&lt;&gt;"",SUMIFS(Cant!$I$2:$I$99,Cant!$M$2:$M$99,F15,Cant!$J$2:$J$99,"22/0.4")&gt;0),SUMIFS(Cant!$I$2:$I$99,Cant!$M$2:$M$99,F15,Cant!$J$2:$J$99,"22/0.4"),""),""))</f>
        <v/>
      </c>
      <c r="H15" s="98" t="str">
        <f t="shared" si="1"/>
        <v/>
      </c>
      <c r="I15" s="13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108" t="str">
        <f t="shared" si="2"/>
        <v/>
      </c>
      <c r="K15" s="137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117" t="str">
        <f t="shared" si="3"/>
        <v/>
      </c>
      <c r="M15" s="138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70" t="str">
        <f t="shared" si="4"/>
        <v/>
      </c>
      <c r="O15" s="139" t="str">
        <f>IF(AND(F15&lt;&gt;"",COUNTIF($F$11:F14,F15)&gt;0),"",IFERROR(IF(AND(N15&lt;&gt;"",SUMIFS(Cant!$I$2:$I$99,Cant!$M$2:$M$99,N15,Cant!$J$2:$J$99,"43/1.0")&gt;0),SUMIFS(Cant!$I$2:$I$99,Cant!$M$2:$M$99,N15,Cant!$J$2:$J$99,"43/1.0"),""),""))</f>
        <v/>
      </c>
      <c r="P15" s="70" t="str">
        <f t="shared" si="5"/>
        <v/>
      </c>
      <c r="Q15" s="140" t="str">
        <f>IF(AND(F15&lt;&gt;"",COUNTIF($F$11:F14,F15)&gt;0),"",IFERROR(IF(AND(P15&lt;&gt;"",SUMIFS(Cant!$I$2:$I$99,Cant!$M$2:$M$99,P15,Cant!$J$2:$J$99,"43/1.5")&gt;0),SUMIFS(Cant!$I$2:$I$99,Cant!$M$2:$M$99,P15,Cant!$J$2:$J$99,"43/1.5"),""),""))</f>
        <v/>
      </c>
      <c r="R15" s="70" t="str">
        <f t="shared" si="6"/>
        <v/>
      </c>
      <c r="S15" s="37" t="str">
        <f>IF(AND(F15&lt;&gt;"",COUNTIF($F$11:F14,F15)&gt;0),"",IFERROR(IF(AND(R15&lt;&gt;"",SUMIFS(Cant!$I$2:$I$99,Cant!$M$2:$M$99,R15,Cant!$J$2:$J$99,"43/2.0")&gt;0),SUMIFS(Cant!$I$2:$I$99,Cant!$M$2:$M$99,R15,Cant!$J$2:$J$99,"43/2.0"),""),""))</f>
        <v/>
      </c>
    </row>
    <row r="16" spans="1:19">
      <c r="A16" s="179"/>
      <c r="B16" s="133" t="str" cm="1">
        <f t="array" ref="B16">IFERROR(_xlfn.SINGLE(INDEX(Deco!$Y$2:$Y$99,_xlfn.AGGREGATE(15,6,ROW(Deco!$Y$2:$Y$99)-ROW(Deco!$Y$2)+1/(Deco!$W$2:$W$99="PAL"),6))),"")</f>
        <v/>
      </c>
      <c r="C16" s="134" t="str">
        <f>IF(D16="buc",IF(B16&lt;&gt;"",INDEX(Deco!$C$2:$C$99,MATCH(B16,Deco!$Y$2:$Y$99,0)),""),IF(B16&lt;&gt;"",INDEX(Deco!$V$2:$V$99,MATCH(B16,Deco!$Y$2:$Y$99,0)),""))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85" t="str">
        <f t="shared" si="0"/>
        <v/>
      </c>
      <c r="G16" s="135" t="str">
        <f>IF(AND(F16&lt;&gt;"",COUNTIF($F$11:F15,F16)&gt;0),"",IFERROR(IF(AND(F16&lt;&gt;"",SUMIFS(Cant!$I$2:$I$99,Cant!$M$2:$M$99,F16,Cant!$J$2:$J$99,"22/0.4")&gt;0),SUMIFS(Cant!$I$2:$I$99,Cant!$M$2:$M$99,F16,Cant!$J$2:$J$99,"22/0.4"),""),""))</f>
        <v/>
      </c>
      <c r="H16" s="98" t="str">
        <f t="shared" si="1"/>
        <v/>
      </c>
      <c r="I16" s="13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108" t="str">
        <f t="shared" si="2"/>
        <v/>
      </c>
      <c r="K16" s="137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117" t="str">
        <f t="shared" si="3"/>
        <v/>
      </c>
      <c r="M16" s="138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70" t="str">
        <f t="shared" si="4"/>
        <v/>
      </c>
      <c r="O16" s="139" t="str">
        <f>IF(AND(F16&lt;&gt;"",COUNTIF($F$11:F15,F16)&gt;0),"",IFERROR(IF(AND(N16&lt;&gt;"",SUMIFS(Cant!$I$2:$I$99,Cant!$M$2:$M$99,N16,Cant!$J$2:$J$99,"43/1.0")&gt;0),SUMIFS(Cant!$I$2:$I$99,Cant!$M$2:$M$99,N16,Cant!$J$2:$J$99,"43/1.0"),""),""))</f>
        <v/>
      </c>
      <c r="P16" s="70" t="str">
        <f t="shared" si="5"/>
        <v/>
      </c>
      <c r="Q16" s="140" t="str">
        <f>IF(AND(F16&lt;&gt;"",COUNTIF($F$11:F15,F16)&gt;0),"",IFERROR(IF(AND(P16&lt;&gt;"",SUMIFS(Cant!$I$2:$I$99,Cant!$M$2:$M$99,P16,Cant!$J$2:$J$99,"43/1.5")&gt;0),SUMIFS(Cant!$I$2:$I$99,Cant!$M$2:$M$99,P16,Cant!$J$2:$J$99,"43/1.5"),""),""))</f>
        <v/>
      </c>
      <c r="R16" s="70" t="str">
        <f t="shared" si="6"/>
        <v/>
      </c>
      <c r="S16" s="37" t="str">
        <f>IF(AND(F16&lt;&gt;"",COUNTIF($F$11:F15,F16)&gt;0),"",IFERROR(IF(AND(R16&lt;&gt;"",SUMIFS(Cant!$I$2:$I$99,Cant!$M$2:$M$99,R16,Cant!$J$2:$J$99,"43/2.0")&gt;0),SUMIFS(Cant!$I$2:$I$99,Cant!$M$2:$M$99,R16,Cant!$J$2:$J$99,"43/2.0"),""),""))</f>
        <v/>
      </c>
    </row>
    <row r="17" spans="1:19">
      <c r="A17" s="179"/>
      <c r="B17" s="133" t="str" cm="1">
        <f t="array" ref="B17">IFERROR(_xlfn.SINGLE(INDEX(Deco!$Y$2:$Y$99,_xlfn.AGGREGATE(15,6,ROW(Deco!$Y$2:$Y$99)-ROW(Deco!$Y$2)+1/(Deco!$W$2:$W$99="PAL"),7))),"")</f>
        <v/>
      </c>
      <c r="C17" s="134" t="str">
        <f>IF(D17="buc",IF(B17&lt;&gt;"",INDEX(Deco!$C$2:$C$99,MATCH(B17,Deco!$Y$2:$Y$99,0)),""),IF(B17&lt;&gt;"",INDEX(Deco!$V$2:$V$99,MATCH(B17,Deco!$Y$2:$Y$99,0)),""))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85" t="str">
        <f t="shared" si="0"/>
        <v/>
      </c>
      <c r="G17" s="135" t="str">
        <f>IF(AND(F17&lt;&gt;"",COUNTIF($F$11:F16,F17)&gt;0),"",IFERROR(IF(AND(F17&lt;&gt;"",SUMIFS(Cant!$I$2:$I$99,Cant!$M$2:$M$99,F17,Cant!$J$2:$J$99,"22/0.4")&gt;0),SUMIFS(Cant!$I$2:$I$99,Cant!$M$2:$M$99,F17,Cant!$J$2:$J$99,"22/0.4"),""),""))</f>
        <v/>
      </c>
      <c r="H17" s="98" t="str">
        <f t="shared" si="1"/>
        <v/>
      </c>
      <c r="I17" s="13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108" t="str">
        <f t="shared" si="2"/>
        <v/>
      </c>
      <c r="K17" s="137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117" t="str">
        <f t="shared" si="3"/>
        <v/>
      </c>
      <c r="M17" s="138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70" t="str">
        <f t="shared" si="4"/>
        <v/>
      </c>
      <c r="O17" s="139" t="str">
        <f>IF(AND(F17&lt;&gt;"",COUNTIF($F$11:F16,F17)&gt;0),"",IFERROR(IF(AND(N17&lt;&gt;"",SUMIFS(Cant!$I$2:$I$99,Cant!$M$2:$M$99,N17,Cant!$J$2:$J$99,"43/1.0")&gt;0),SUMIFS(Cant!$I$2:$I$99,Cant!$M$2:$M$99,N17,Cant!$J$2:$J$99,"43/1.0"),""),""))</f>
        <v/>
      </c>
      <c r="P17" s="70" t="str">
        <f t="shared" si="5"/>
        <v/>
      </c>
      <c r="Q17" s="140" t="str">
        <f>IF(AND(F17&lt;&gt;"",COUNTIF($F$11:F16,F17)&gt;0),"",IFERROR(IF(AND(P17&lt;&gt;"",SUMIFS(Cant!$I$2:$I$99,Cant!$M$2:$M$99,P17,Cant!$J$2:$J$99,"43/1.5")&gt;0),SUMIFS(Cant!$I$2:$I$99,Cant!$M$2:$M$99,P17,Cant!$J$2:$J$99,"43/1.5"),""),""))</f>
        <v/>
      </c>
      <c r="R17" s="70" t="str">
        <f t="shared" si="6"/>
        <v/>
      </c>
      <c r="S17" s="37" t="str">
        <f>IF(AND(F17&lt;&gt;"",COUNTIF($F$11:F16,F17)&gt;0),"",IFERROR(IF(AND(R17&lt;&gt;"",SUMIFS(Cant!$I$2:$I$99,Cant!$M$2:$M$99,R17,Cant!$J$2:$J$99,"43/2.0")&gt;0),SUMIFS(Cant!$I$2:$I$99,Cant!$M$2:$M$99,R17,Cant!$J$2:$J$99,"43/2.0"),""),""))</f>
        <v/>
      </c>
    </row>
    <row r="18" spans="1:19">
      <c r="A18" s="179"/>
      <c r="B18" s="133" t="str" cm="1">
        <f t="array" ref="B18">IFERROR(_xlfn.SINGLE(INDEX(Deco!$Y$2:$Y$99,_xlfn.AGGREGATE(15,6,ROW(Deco!$Y$2:$Y$99)-ROW(Deco!$Y$2)+1/(Deco!$W$2:$W$99="PAL"),8))),"")</f>
        <v/>
      </c>
      <c r="C18" s="134" t="str">
        <f>IF(D18="buc",IF(B18&lt;&gt;"",INDEX(Deco!$C$2:$C$99,MATCH(B18,Deco!$Y$2:$Y$99,0)),""),IF(B18&lt;&gt;"",INDEX(Deco!$V$2:$V$99,MATCH(B18,Deco!$Y$2:$Y$99,0)),""))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85" t="str">
        <f t="shared" si="0"/>
        <v/>
      </c>
      <c r="G18" s="135" t="str">
        <f>IF(AND(F18&lt;&gt;"",COUNTIF($F$11:F17,F18)&gt;0),"",IFERROR(IF(AND(F18&lt;&gt;"",SUMIFS(Cant!$I$2:$I$99,Cant!$M$2:$M$99,F18,Cant!$J$2:$J$99,"22/0.4")&gt;0),SUMIFS(Cant!$I$2:$I$99,Cant!$M$2:$M$99,F18,Cant!$J$2:$J$99,"22/0.4"),""),""))</f>
        <v/>
      </c>
      <c r="H18" s="98" t="str">
        <f t="shared" si="1"/>
        <v/>
      </c>
      <c r="I18" s="13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108" t="str">
        <f t="shared" si="2"/>
        <v/>
      </c>
      <c r="K18" s="137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117" t="str">
        <f t="shared" si="3"/>
        <v/>
      </c>
      <c r="M18" s="138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70" t="str">
        <f t="shared" si="4"/>
        <v/>
      </c>
      <c r="O18" s="139" t="str">
        <f>IF(AND(F18&lt;&gt;"",COUNTIF($F$11:F17,F18)&gt;0),"",IFERROR(IF(AND(N18&lt;&gt;"",SUMIFS(Cant!$I$2:$I$99,Cant!$M$2:$M$99,N18,Cant!$J$2:$J$99,"43/1.0")&gt;0),SUMIFS(Cant!$I$2:$I$99,Cant!$M$2:$M$99,N18,Cant!$J$2:$J$99,"43/1.0"),""),""))</f>
        <v/>
      </c>
      <c r="P18" s="70" t="str">
        <f t="shared" si="5"/>
        <v/>
      </c>
      <c r="Q18" s="140" t="str">
        <f>IF(AND(F18&lt;&gt;"",COUNTIF($F$11:F17,F18)&gt;0),"",IFERROR(IF(AND(P18&lt;&gt;"",SUMIFS(Cant!$I$2:$I$99,Cant!$M$2:$M$99,P18,Cant!$J$2:$J$99,"43/1.5")&gt;0),SUMIFS(Cant!$I$2:$I$99,Cant!$M$2:$M$99,P18,Cant!$J$2:$J$99,"43/1.5"),""),""))</f>
        <v/>
      </c>
      <c r="R18" s="70" t="str">
        <f t="shared" si="6"/>
        <v/>
      </c>
      <c r="S18" s="37" t="str">
        <f>IF(AND(F18&lt;&gt;"",COUNTIF($F$11:F17,F18)&gt;0),"",IFERROR(IF(AND(R18&lt;&gt;"",SUMIFS(Cant!$I$2:$I$99,Cant!$M$2:$M$99,R18,Cant!$J$2:$J$99,"43/2.0")&gt;0),SUMIFS(Cant!$I$2:$I$99,Cant!$M$2:$M$99,R18,Cant!$J$2:$J$99,"43/2.0"),""),""))</f>
        <v/>
      </c>
    </row>
    <row r="19" spans="1:19">
      <c r="A19" s="179"/>
      <c r="B19" s="133" t="str" cm="1">
        <f t="array" ref="B19">IFERROR(_xlfn.SINGLE(INDEX(Deco!$Y$2:$Y$99,_xlfn.AGGREGATE(15,6,ROW(Deco!$Y$2:$Y$99)-ROW(Deco!$Y$2)+1/(Deco!$W$2:$W$99="PAL"),9))),"")</f>
        <v/>
      </c>
      <c r="C19" s="134" t="str">
        <f>IF(D19="buc",IF(B19&lt;&gt;"",INDEX(Deco!$C$2:$C$99,MATCH(B19,Deco!$Y$2:$Y$99,0)),""),IF(B19&lt;&gt;"",INDEX(Deco!$V$2:$V$99,MATCH(B19,Deco!$Y$2:$Y$99,0)),""))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85" t="str">
        <f t="shared" si="0"/>
        <v/>
      </c>
      <c r="G19" s="135" t="str">
        <f>IF(AND(F19&lt;&gt;"",COUNTIF($F$11:F18,F19)&gt;0),"",IFERROR(IF(AND(F19&lt;&gt;"",SUMIFS(Cant!$I$2:$I$99,Cant!$M$2:$M$99,F19,Cant!$J$2:$J$99,"22/0.4")&gt;0),SUMIFS(Cant!$I$2:$I$99,Cant!$M$2:$M$99,F19,Cant!$J$2:$J$99,"22/0.4"),""),""))</f>
        <v/>
      </c>
      <c r="H19" s="98" t="str">
        <f t="shared" si="1"/>
        <v/>
      </c>
      <c r="I19" s="13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108" t="str">
        <f t="shared" si="2"/>
        <v/>
      </c>
      <c r="K19" s="137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117" t="str">
        <f t="shared" si="3"/>
        <v/>
      </c>
      <c r="M19" s="138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70" t="str">
        <f t="shared" si="4"/>
        <v/>
      </c>
      <c r="O19" s="139" t="str">
        <f>IF(AND(F19&lt;&gt;"",COUNTIF($F$11:F18,F19)&gt;0),"",IFERROR(IF(AND(N19&lt;&gt;"",SUMIFS(Cant!$I$2:$I$99,Cant!$M$2:$M$99,N19,Cant!$J$2:$J$99,"43/1.0")&gt;0),SUMIFS(Cant!$I$2:$I$99,Cant!$M$2:$M$99,N19,Cant!$J$2:$J$99,"43/1.0"),""),""))</f>
        <v/>
      </c>
      <c r="P19" s="70" t="str">
        <f t="shared" si="5"/>
        <v/>
      </c>
      <c r="Q19" s="140" t="str">
        <f>IF(AND(F19&lt;&gt;"",COUNTIF($F$11:F18,F19)&gt;0),"",IFERROR(IF(AND(P19&lt;&gt;"",SUMIFS(Cant!$I$2:$I$99,Cant!$M$2:$M$99,P19,Cant!$J$2:$J$99,"43/1.5")&gt;0),SUMIFS(Cant!$I$2:$I$99,Cant!$M$2:$M$99,P19,Cant!$J$2:$J$99,"43/1.5"),""),""))</f>
        <v/>
      </c>
      <c r="R19" s="70" t="str">
        <f t="shared" si="6"/>
        <v/>
      </c>
      <c r="S19" s="37" t="str">
        <f>IF(AND(F19&lt;&gt;"",COUNTIF($F$11:F18,F19)&gt;0),"",IFERROR(IF(AND(R19&lt;&gt;"",SUMIFS(Cant!$I$2:$I$99,Cant!$M$2:$M$99,R19,Cant!$J$2:$J$99,"43/2.0")&gt;0),SUMIFS(Cant!$I$2:$I$99,Cant!$M$2:$M$99,R19,Cant!$J$2:$J$99,"43/2.0"),""),""))</f>
        <v/>
      </c>
    </row>
    <row r="20" spans="1:19">
      <c r="A20" s="179"/>
      <c r="B20" s="133" t="str" cm="1">
        <f t="array" ref="B20">IFERROR(_xlfn.SINGLE(INDEX(Deco!$Y$2:$Y$99,_xlfn.AGGREGATE(15,6,ROW(Deco!$Y$2:$Y$99)-ROW(Deco!$Y$2)+1/(Deco!$W$2:$W$99="PAL"),10))),"")</f>
        <v/>
      </c>
      <c r="C20" s="134" t="str">
        <f>IF(D20="buc",IF(B20&lt;&gt;"",INDEX(Deco!$C$2:$C$99,MATCH(B20,Deco!$Y$2:$Y$99,0)),""),IF(B20&lt;&gt;"",INDEX(Deco!$V$2:$V$99,MATCH(B20,Deco!$Y$2:$Y$99,0)),""))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85" t="str">
        <f t="shared" si="0"/>
        <v/>
      </c>
      <c r="G20" s="135" t="str">
        <f>IF(AND(F20&lt;&gt;"",COUNTIF($F$11:F19,F20)&gt;0),"",IFERROR(IF(AND(F20&lt;&gt;"",SUMIFS(Cant!$I$2:$I$99,Cant!$M$2:$M$99,F20,Cant!$J$2:$J$99,"22/0.4")&gt;0),SUMIFS(Cant!$I$2:$I$99,Cant!$M$2:$M$99,F20,Cant!$J$2:$J$99,"22/0.4"),""),""))</f>
        <v/>
      </c>
      <c r="H20" s="98" t="str">
        <f t="shared" si="1"/>
        <v/>
      </c>
      <c r="I20" s="13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108" t="str">
        <f t="shared" si="2"/>
        <v/>
      </c>
      <c r="K20" s="137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117" t="str">
        <f t="shared" si="3"/>
        <v/>
      </c>
      <c r="M20" s="138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70" t="str">
        <f t="shared" si="4"/>
        <v/>
      </c>
      <c r="O20" s="139" t="str">
        <f>IF(AND(F20&lt;&gt;"",COUNTIF($F$11:F19,F20)&gt;0),"",IFERROR(IF(AND(N20&lt;&gt;"",SUMIFS(Cant!$I$2:$I$99,Cant!$M$2:$M$99,N20,Cant!$J$2:$J$99,"43/1.0")&gt;0),SUMIFS(Cant!$I$2:$I$99,Cant!$M$2:$M$99,N20,Cant!$J$2:$J$99,"43/1.0"),""),""))</f>
        <v/>
      </c>
      <c r="P20" s="70" t="str">
        <f t="shared" si="5"/>
        <v/>
      </c>
      <c r="Q20" s="140" t="str">
        <f>IF(AND(F20&lt;&gt;"",COUNTIF($F$11:F19,F20)&gt;0),"",IFERROR(IF(AND(P20&lt;&gt;"",SUMIFS(Cant!$I$2:$I$99,Cant!$M$2:$M$99,P20,Cant!$J$2:$J$99,"43/1.5")&gt;0),SUMIFS(Cant!$I$2:$I$99,Cant!$M$2:$M$99,P20,Cant!$J$2:$J$99,"43/1.5"),""),""))</f>
        <v/>
      </c>
      <c r="R20" s="70" t="str">
        <f t="shared" si="6"/>
        <v/>
      </c>
      <c r="S20" s="37" t="str">
        <f>IF(AND(F20&lt;&gt;"",COUNTIF($F$11:F19,F20)&gt;0),"",IFERROR(IF(AND(R20&lt;&gt;"",SUMIFS(Cant!$I$2:$I$99,Cant!$M$2:$M$99,R20,Cant!$J$2:$J$99,"43/2.0")&gt;0),SUMIFS(Cant!$I$2:$I$99,Cant!$M$2:$M$99,R20,Cant!$J$2:$J$99,"43/2.0"),""),""))</f>
        <v/>
      </c>
    </row>
    <row r="21" spans="1:19">
      <c r="A21" s="179"/>
      <c r="B21" s="133" t="str" cm="1">
        <f t="array" ref="B21">IFERROR(_xlfn.SINGLE(INDEX(Deco!$Y$2:$Y$99,_xlfn.AGGREGATE(15,6,ROW(Deco!$Y$2:$Y$99)-ROW(Deco!$Y$2)+1/(Deco!$W$2:$W$99="PAL"),11))),"")</f>
        <v/>
      </c>
      <c r="C21" s="134" t="str">
        <f>IF(D21="buc",IF(B21&lt;&gt;"",INDEX(Deco!$C$2:$C$99,MATCH(B21,Deco!$Y$2:$Y$99,0)),""),IF(B21&lt;&gt;"",INDEX(Deco!$V$2:$V$99,MATCH(B21,Deco!$Y$2:$Y$99,0)),""))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85" t="str">
        <f t="shared" si="0"/>
        <v/>
      </c>
      <c r="G21" s="135" t="str">
        <f>IF(AND(F21&lt;&gt;"",COUNTIF($F$11:F20,F21)&gt;0),"",IFERROR(IF(AND(F21&lt;&gt;"",SUMIFS(Cant!$I$2:$I$99,Cant!$M$2:$M$99,F21,Cant!$J$2:$J$99,"22/0.4")&gt;0),SUMIFS(Cant!$I$2:$I$99,Cant!$M$2:$M$99,F21,Cant!$J$2:$J$99,"22/0.4"),""),""))</f>
        <v/>
      </c>
      <c r="H21" s="98" t="str">
        <f t="shared" si="1"/>
        <v/>
      </c>
      <c r="I21" s="13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108" t="str">
        <f t="shared" si="2"/>
        <v/>
      </c>
      <c r="K21" s="137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117" t="str">
        <f t="shared" si="3"/>
        <v/>
      </c>
      <c r="M21" s="138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70" t="str">
        <f t="shared" si="4"/>
        <v/>
      </c>
      <c r="O21" s="139" t="str">
        <f>IF(AND(F21&lt;&gt;"",COUNTIF($F$11:F20,F21)&gt;0),"",IFERROR(IF(AND(N21&lt;&gt;"",SUMIFS(Cant!$I$2:$I$99,Cant!$M$2:$M$99,N21,Cant!$J$2:$J$99,"43/1.0")&gt;0),SUMIFS(Cant!$I$2:$I$99,Cant!$M$2:$M$99,N21,Cant!$J$2:$J$99,"43/1.0"),""),""))</f>
        <v/>
      </c>
      <c r="P21" s="70" t="str">
        <f t="shared" si="5"/>
        <v/>
      </c>
      <c r="Q21" s="140" t="str">
        <f>IF(AND(F21&lt;&gt;"",COUNTIF($F$11:F20,F21)&gt;0),"",IFERROR(IF(AND(P21&lt;&gt;"",SUMIFS(Cant!$I$2:$I$99,Cant!$M$2:$M$99,P21,Cant!$J$2:$J$99,"43/1.5")&gt;0),SUMIFS(Cant!$I$2:$I$99,Cant!$M$2:$M$99,P21,Cant!$J$2:$J$99,"43/1.5"),""),""))</f>
        <v/>
      </c>
      <c r="R21" s="70" t="str">
        <f t="shared" si="6"/>
        <v/>
      </c>
      <c r="S21" s="37" t="str">
        <f>IF(AND(F21&lt;&gt;"",COUNTIF($F$11:F20,F21)&gt;0),"",IFERROR(IF(AND(R21&lt;&gt;"",SUMIFS(Cant!$I$2:$I$99,Cant!$M$2:$M$99,R21,Cant!$J$2:$J$99,"43/2.0")&gt;0),SUMIFS(Cant!$I$2:$I$99,Cant!$M$2:$M$99,R21,Cant!$J$2:$J$99,"43/2.0"),""),""))</f>
        <v/>
      </c>
    </row>
    <row r="22" spans="1:19" ht="15.75" thickBot="1">
      <c r="A22" s="241"/>
      <c r="B22" s="133" t="str" cm="1">
        <f t="array" ref="B22">IFERROR(_xlfn.SINGLE(INDEX(Deco!$Y$2:$Y$99,_xlfn.AGGREGATE(15,6,ROW(Deco!$Y$2:$Y$99)-ROW(Deco!$Y$2)+1/(Deco!$W$2:$W$99="PAL"),12))),"")</f>
        <v/>
      </c>
      <c r="C22" s="134" t="str">
        <f>IF(D22="buc",IF(B22&lt;&gt;"",INDEX(Deco!$C$2:$C$99,MATCH(B22,Deco!$Y$2:$Y$99,0)),""),IF(B22&lt;&gt;"",INDEX(Deco!$V$2:$V$99,MATCH(B22,Deco!$Y$2:$Y$99,0)),""))</f>
        <v/>
      </c>
      <c r="D22" s="126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8"/>
      <c r="F22" s="85" t="str">
        <f t="shared" si="0"/>
        <v/>
      </c>
      <c r="G22" s="135" t="str">
        <f>IF(AND(F22&lt;&gt;"",COUNTIF($F$11:F21,F22)&gt;0),"",IFERROR(IF(AND(F22&lt;&gt;"",SUMIFS(Cant!$I$2:$I$99,Cant!$M$2:$M$99,F22,Cant!$J$2:$J$99,"22/0.4")&gt;0),SUMIFS(Cant!$I$2:$I$99,Cant!$M$2:$M$99,F22,Cant!$J$2:$J$99,"22/0.4"),""),""))</f>
        <v/>
      </c>
      <c r="H22" s="98" t="str">
        <f t="shared" si="1"/>
        <v/>
      </c>
      <c r="I22" s="13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108" t="str">
        <f t="shared" si="2"/>
        <v/>
      </c>
      <c r="K22" s="137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117" t="str">
        <f t="shared" si="3"/>
        <v/>
      </c>
      <c r="M22" s="138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70" t="str">
        <f t="shared" si="4"/>
        <v/>
      </c>
      <c r="O22" s="139" t="str">
        <f>IF(AND(F22&lt;&gt;"",COUNTIF($F$11:F21,F22)&gt;0),"",IFERROR(IF(AND(N22&lt;&gt;"",SUMIFS(Cant!$I$2:$I$99,Cant!$M$2:$M$99,N22,Cant!$J$2:$J$99,"43/1.0")&gt;0),SUMIFS(Cant!$I$2:$I$99,Cant!$M$2:$M$99,N22,Cant!$J$2:$J$99,"43/1.0"),""),""))</f>
        <v/>
      </c>
      <c r="P22" s="70" t="str">
        <f>CONCATENATE(F22)</f>
        <v/>
      </c>
      <c r="Q22" s="140" t="str">
        <f>IF(AND(F22&lt;&gt;"",COUNTIF($F$11:F21,F22)&gt;0),"",IFERROR(IF(AND(P22&lt;&gt;"",SUMIFS(Cant!$I$2:$I$99,Cant!$M$2:$M$99,P22,Cant!$J$2:$J$99,"43/1.5")&gt;0),SUMIFS(Cant!$I$2:$I$99,Cant!$M$2:$M$99,P22,Cant!$J$2:$J$99,"43/1.5"),""),""))</f>
        <v/>
      </c>
      <c r="R22" s="70" t="str">
        <f t="shared" si="6"/>
        <v/>
      </c>
      <c r="S22" s="37" t="str">
        <f>IF(AND(F22&lt;&gt;"",COUNTIF($F$11:F21,F22)&gt;0),"",IFERROR(IF(AND(R22&lt;&gt;"",SUMIFS(Cant!$I$2:$I$99,Cant!$M$2:$M$99,R22,Cant!$J$2:$J$99,"43/2.0")&gt;0),SUMIFS(Cant!$I$2:$I$99,Cant!$M$2:$M$99,R22,Cant!$J$2:$J$99,"43/2.0"),""),""))</f>
        <v/>
      </c>
    </row>
    <row r="23" spans="1:19" s="51" customFormat="1" ht="2.1" hidden="1" customHeight="1">
      <c r="A23" s="53"/>
      <c r="B23" s="48"/>
      <c r="C23" s="48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9"/>
      <c r="F23" s="85" t="str">
        <f t="shared" ref="F23" si="7" xml:space="preserve"> IF(OR(
      ISNUMBER(--RIGHT(B23,1)),
      RIGHT(B23,2)="SM",
      RIGHT(B23,2)="PM",
      RIGHT(B23,2)="PG", RIGHT(B23,2)="PA",
      RIGHT(B23,2)="mm",
      RIGHT(B23,2)="mp"
   ),B23,
   LEFT(B23,7))</f>
        <v/>
      </c>
      <c r="G23" s="88"/>
      <c r="H23" s="100"/>
      <c r="I23" s="146" t="str">
        <f>IFERROR(
   IF(AND(H23&lt;&gt;"",
      SUMIFS(Cant!$I$2:$I$99,Cant!$M$2:$M$99,H23,Cant!$J$2:$J$99,"22/1.0")
     +SUMIFS(Cant!$I$2:$I$99,Cant!$M$2:$M$99,H23,Cant!$J$2:$J$99,"23/1.0")&gt;0),
      SUMIFS(Cant!$I$2:$I$99,Cant!$M$2:$M$99,H23,Cant!$J$2:$J$99,"22/1.0")
     +SUMIFS(Cant!$I$2:$I$99,Cant!$M$2:$M$99,H23,Cant!$J$2:$J$99,"23/1.0"),
   ""),"")</f>
        <v/>
      </c>
      <c r="J23" s="110"/>
      <c r="K23" s="110"/>
      <c r="L23" s="149" t="str">
        <f t="shared" si="3"/>
        <v/>
      </c>
      <c r="M23" s="119"/>
      <c r="N23" s="151" t="str">
        <f t="shared" si="4"/>
        <v/>
      </c>
      <c r="O23" s="49"/>
      <c r="P23" s="49"/>
      <c r="Q23" s="49"/>
      <c r="R23" s="151" t="str">
        <f t="shared" si="6"/>
        <v/>
      </c>
      <c r="S23" s="37" t="str">
        <f>IF(AND(F23&lt;&gt;"",COUNTIF($F$11:F22,F23)&gt;0),"",IFERROR(IF(AND(R23&lt;&gt;"",SUMIFS(Cant!$I$2:$I$99,Cant!$M$2:$M$99,R23,Cant!$J$2:$J$99,"43/2.0")&gt;0),SUMIFS(Cant!$I$2:$I$99,Cant!$M$2:$M$99,R23,Cant!$J$2:$J$99,"43/2.0"),""),""))</f>
        <v/>
      </c>
    </row>
    <row r="24" spans="1:19">
      <c r="A24" s="240" t="s">
        <v>10</v>
      </c>
      <c r="B24" s="57" t="str">
        <f>IFERROR(INDEX(Deco!$Y$2:$Y$99,_xlfn.AGGREGATE(15,6,ROW(Deco!$Y$2:$Y$99)-ROW(Deco!$Y$2)+1/(Deco!$W$2:$W$99="MDF"),1)),"")</f>
        <v/>
      </c>
      <c r="C24" s="61" t="str">
        <f>IF(D24="buc",IF(B24&lt;&gt;"",INDEX(Deco!$C$2:$C$99,MATCH(B24,Deco!$Y$2:$Y$99,0)),""),IF(B24&lt;&gt;"",INDEX(Deco!$V$2:$V$99,MATCH(B24,Deco!$Y$2:$Y$99,0)),""))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8"/>
      <c r="F24" s="89" t="str">
        <f>IF(
   OR(
      ISNUMBER(--RIGHT(B24,1)),
      RIGHT(B24,2)="SM",
      RIGHT(B24,2)="PM",
      RIGHT(B24,2)="PG",
      RIGHT(B24,2)="PA",
      RIGHT(B24,2)="MP"
   ),
   B24,
   IF(
      OR(RIGHT(B24,4)="16mm",RIGHT(B24,4)="10mm"),
      LEFT(B24,LEN(B24)-5),
      IF(
         RIGHT(B24,4)=" 8mm",
         LEFT(B24,LEN(B24)-4),
         LEFT(B24,7)
      )
   )
)</f>
        <v/>
      </c>
      <c r="G24" s="90" t="str">
        <f>IF(AND(F24&lt;&gt;"",COUNTIF($F$11:F23,F24)&gt;0),"",IFERROR(IF(AND(F24&lt;&gt;"",SUMIFS(Cant!$I$2:$I$99,Cant!$M$2:$M$99,F24,Cant!$J$2:$J$99,"22/0.4")&gt;0),SUMIFS(Cant!$I$2:$I$99,Cant!$M$2:$M$99,F24,Cant!$J$2:$J$99,"22/0.4"),""),""))</f>
        <v/>
      </c>
      <c r="H24" s="97" t="str">
        <f>CONCATENATE(F24)</f>
        <v/>
      </c>
      <c r="I24" s="101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107" t="str">
        <f>CONCATENATE(F24)</f>
        <v/>
      </c>
      <c r="K24" s="11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116" t="str">
        <f>CONCATENATE(F24)</f>
        <v/>
      </c>
      <c r="M24" s="120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57" t="str">
        <f>CONCATENATE(F24)</f>
        <v/>
      </c>
      <c r="O24" s="29" t="str">
        <f>IF(AND(F24&lt;&gt;"",COUNTIF($F$11:F23,F24)&gt;0),"",IFERROR(IF(AND(N24&lt;&gt;"",SUMIFS(Cant!$I$2:$I$99,Cant!$M$2:$M$99,N22,Cant!$J$2:$J$99,"43/1.0")&gt;0),SUMIFS(Cant!$I$2:$I$99,Cant!$M$2:$M$99,N22,Cant!$J$2:$J$99,"43/1.0"),""),""))</f>
        <v/>
      </c>
      <c r="P24" s="57" t="str">
        <f>CONCATENATE(F24)</f>
        <v/>
      </c>
      <c r="Q24" s="171" t="str">
        <f>IF(AND(F24&lt;&gt;"",COUNTIF($F$11:F23,F24)&gt;0),"",IFERROR(IF(AND(P24&lt;&gt;"",SUMIFS(Cant!$I$2:$I$99,Cant!$M$2:$M$99,P24,Cant!$J$2:$J$99,"43/1.5")&gt;0),SUMIFS(Cant!$I$2:$I$99,Cant!$M$2:$M$99,P24,Cant!$J$2:$J$99,"43/1.5"),""),""))</f>
        <v/>
      </c>
      <c r="R24" s="57" t="str">
        <f>CONCATENATE(F24)</f>
        <v/>
      </c>
      <c r="S24" s="171" t="str">
        <f>IF(AND(F24&lt;&gt;"",COUNTIF($F$11:F23,F24)&gt;0),"",IFERROR(IF(AND(R24&lt;&gt;"",SUMIFS(Cant!$I$2:$I$99,Cant!$M$2:$M$99,R24,Cant!$J$2:$J$99,"43/2.0")&gt;0),SUMIFS(Cant!$I$2:$I$99,Cant!$M$2:$M$99,R24,Cant!$J$2:$J$99,"43/2.0"),""),""))</f>
        <v/>
      </c>
    </row>
    <row r="25" spans="1:19">
      <c r="A25" s="179"/>
      <c r="B25" s="70" t="str">
        <f>IFERROR(INDEX(Deco!$Y$2:$Y$99,_xlfn.AGGREGATE(15,6,ROW(Deco!$Y$2:$Y$99)-ROW(Deco!$Y$2)+1/(Deco!$W$2:$W$99="MDF"),2)),"")</f>
        <v/>
      </c>
      <c r="C25" s="134" t="str">
        <f>IF(D25="buc",IF(B25&lt;&gt;"",INDEX(Deco!$C$2:$C$99,MATCH(B25,Deco!$Y$2:$Y$99,0)),""),IF(B25&lt;&gt;"",INDEX(Deco!$V$2:$V$99,MATCH(B25,Deco!$Y$2:$Y$99,0)),""))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85" t="str">
        <f>IF(
   OR(
      ISNUMBER(--RIGHT(B25,1)),
      RIGHT(B25,2)="SM",
      RIGHT(B25,2)="PM",
      RIGHT(B25,2)="PG",
      RIGHT(B25,2)="PA",
      RIGHT(B25,2)="MP"
   ),
   B25,
   IF(
      OR(RIGHT(B25,4)="16mm",RIGHT(B25,4)="10mm"),
      LEFT(B25,LEN(B25)-5),
      IF(
         RIGHT(B25,4)=" 8mm",
         LEFT(B25,LEN(B25)-4),
         LEFT(B25,7)
      )
   )
)</f>
        <v/>
      </c>
      <c r="G25" s="86" t="str">
        <f>IF(AND(F25&lt;&gt;"",COUNTIF($F$11:F24,F25)&gt;0),"",IFERROR(IF(AND(F25&lt;&gt;"",SUMIFS(Cant!$I$2:$I$99,Cant!$M$2:$M$99,F25,Cant!$J$2:$J$99,"22/0.4")&gt;0),SUMIFS(Cant!$I$2:$I$99,Cant!$M$2:$M$99,F25,Cant!$J$2:$J$99,"22/0.4"),""),""))</f>
        <v/>
      </c>
      <c r="H25" s="98" t="str">
        <f>CONCATENATE(F25)</f>
        <v/>
      </c>
      <c r="I25" s="147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108" t="str">
        <f>CONCATENATE(F25)</f>
        <v/>
      </c>
      <c r="K25" s="148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117" t="str">
        <f>CONCATENATE(F25)</f>
        <v/>
      </c>
      <c r="M25" s="150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70" t="str">
        <f>CONCATENATE(F25)</f>
        <v/>
      </c>
      <c r="O25" s="37" t="str">
        <f>IF(AND(F25&lt;&gt;"",COUNTIF($F$11:F24,F25)&gt;0),"",IFERROR(IF(AND(N25&lt;&gt;"",SUMIFS(Cant!$I$2:$I$99,Cant!$M$2:$M$99,N25,Cant!$J$2:$J$99,"43/1.0")&gt;0),SUMIFS(Cant!$I$2:$I$99,Cant!$M$2:$M$99,N25,Cant!$J$2:$J$99,"43/1.0"),""),""))</f>
        <v/>
      </c>
      <c r="P25" s="70" t="str">
        <f>CONCATENATE(F25)</f>
        <v/>
      </c>
      <c r="Q25" s="172" t="str">
        <f>IF(AND(F25&lt;&gt;"",COUNTIF($F$11:F24,F25)&gt;0),"",IFERROR(IF(AND(P25&lt;&gt;"",SUMIFS(Cant!$I$2:$I$99,Cant!$M$2:$M$99,P25,Cant!$J$2:$J$99,"43/1.5")&gt;0),SUMIFS(Cant!$I$2:$I$99,Cant!$M$2:$M$99,P25,Cant!$J$2:$J$99,"43/1.5"),""),""))</f>
        <v/>
      </c>
      <c r="R25" s="70" t="str">
        <f>CONCATENATE(F25)</f>
        <v/>
      </c>
      <c r="S25" s="172" t="str">
        <f>IF(AND(F25&lt;&gt;"",COUNTIF($F$11:F24,F25)&gt;0),"",IFERROR(IF(AND(R25&lt;&gt;"",SUMIFS(Cant!$I$2:$I$99,Cant!$M$2:$M$99,R25,Cant!$J$2:$J$99,"43/2.0")&gt;0),SUMIFS(Cant!$I$2:$I$99,Cant!$M$2:$M$99,R25,Cant!$J$2:$J$99,"43/2.0"),""),""))</f>
        <v/>
      </c>
    </row>
    <row r="26" spans="1:19">
      <c r="A26" s="179"/>
      <c r="B26" s="70" t="str" cm="1">
        <f t="array" ref="B26">IFERROR(_xlfn.SINGLE(INDEX(Deco!$Y$2:$Y$99,_xlfn.AGGREGATE(15,6,ROW(Deco!$Y$2:$Y$99)-ROW(Deco!$Y$2)+1/(Deco!$W$2:$W$99="MDF"),3))),"")</f>
        <v/>
      </c>
      <c r="C26" s="134" t="str">
        <f>IF(D26="buc",IF(B26&lt;&gt;"",INDEX(Deco!$C$2:$C$99,MATCH(B26,Deco!$Y$2:$Y$99,0)),""),IF(B26&lt;&gt;"",INDEX(Deco!$V$2:$V$99,MATCH(B26,Deco!$Y$2:$Y$99,0)),""))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85" t="str">
        <f t="shared" ref="F26:F28" si="8">IF(
   OR(
      ISNUMBER(--RIGHT(B26,1)),
      RIGHT(B26,2)="SM",
      RIGHT(B26,2)="PM",
      RIGHT(B26,2)="PG",
      RIGHT(B26,2)="PA",
      RIGHT(B26,2)="MP"
   ),
   B26,
   IF(
      OR(RIGHT(B26,4)="16mm",RIGHT(B26,4)="10mm"),
      LEFT(B26,LEN(B26)-5),
      IF(
         RIGHT(B26,4)=" 8mm",
         LEFT(B26,LEN(B26)-4),
         LEFT(B26,7)
      )
   )
)</f>
        <v/>
      </c>
      <c r="G26" s="86" t="str">
        <f>IF(AND(F26&lt;&gt;"",COUNTIF($F$11:F25,F26)&gt;0),"",IFERROR(IF(AND(F26&lt;&gt;"",SUMIFS(Cant!$I$2:$I$99,Cant!$M$2:$M$99,F26,Cant!$J$2:$J$99,"22/0.4")&gt;0),SUMIFS(Cant!$I$2:$I$99,Cant!$M$2:$M$99,F26,Cant!$J$2:$J$99,"22/0.4"),""),""))</f>
        <v/>
      </c>
      <c r="H26" s="98" t="str">
        <f>CONCATENATE(F26)</f>
        <v/>
      </c>
      <c r="I26" s="147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108" t="str">
        <f>CONCATENATE(F26)</f>
        <v/>
      </c>
      <c r="K26" s="148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117" t="str">
        <f>CONCATENATE(F26)</f>
        <v/>
      </c>
      <c r="M26" s="150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70" t="str">
        <f>CONCATENATE(F26)</f>
        <v/>
      </c>
      <c r="O26" s="37" t="str">
        <f>IF(AND(F26&lt;&gt;"",COUNTIF($F$11:F25,F26)&gt;0),"",IFERROR(IF(AND(N26&lt;&gt;"",SUMIFS(Cant!$I$2:$I$99,Cant!$M$2:$M$99,N26,Cant!$J$2:$J$99,"43/1.0")&gt;0),SUMIFS(Cant!$I$2:$I$99,Cant!$M$2:$M$99,N26,Cant!$J$2:$J$99,"43/1.0"),""),""))</f>
        <v/>
      </c>
      <c r="P26" s="70" t="str">
        <f>CONCATENATE(F26)</f>
        <v/>
      </c>
      <c r="Q26" s="172" t="str">
        <f>IF(AND(F26&lt;&gt;"",COUNTIF($F$11:F25,F26)&gt;0),"",IFERROR(IF(AND(P26&lt;&gt;"",SUMIFS(Cant!$I$2:$I$99,Cant!$M$2:$M$99,P26,Cant!$J$2:$J$99,"43/1.5")&gt;0),SUMIFS(Cant!$I$2:$I$99,Cant!$M$2:$M$99,P26,Cant!$J$2:$J$99,"43/1.5"),""),""))</f>
        <v/>
      </c>
      <c r="R26" s="70" t="str">
        <f>CONCATENATE(F26)</f>
        <v/>
      </c>
      <c r="S26" s="172" t="str">
        <f>IF(AND(F26&lt;&gt;"",COUNTIF($F$11:F25,F26)&gt;0),"",IFERROR(IF(AND(R26&lt;&gt;"",SUMIFS(Cant!$I$2:$I$99,Cant!$M$2:$M$99,R26,Cant!$J$2:$J$99,"43/2.0")&gt;0),SUMIFS(Cant!$I$2:$I$99,Cant!$M$2:$M$99,R26,Cant!$J$2:$J$99,"43/2.0"),""),""))</f>
        <v/>
      </c>
    </row>
    <row r="27" spans="1:19">
      <c r="A27" s="179"/>
      <c r="B27" s="70" t="str" cm="1">
        <f t="array" ref="B27">IFERROR(_xlfn.SINGLE(INDEX(Deco!$Y$2:$Y$99,_xlfn.AGGREGATE(15,6,ROW(Deco!$Y$2:$Y$99)-ROW(Deco!$Y$2)+1/(Deco!$W$2:$W$99="MDF"),4))),"")</f>
        <v/>
      </c>
      <c r="C27" s="134" t="str">
        <f>IF(D27="buc",IF(B27&lt;&gt;"",INDEX(Deco!$C$2:$C$99,MATCH(B27,Deco!$Y$2:$Y$99,0)),""),IF(B27&lt;&gt;"",INDEX(Deco!$V$2:$V$99,MATCH(B27,Deco!$Y$2:$Y$99,0)),""))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85" t="str">
        <f t="shared" si="8"/>
        <v/>
      </c>
      <c r="G27" s="86" t="str">
        <f>IF(AND(F27&lt;&gt;"",COUNTIF($F$11:F26,F27)&gt;0),"",IFERROR(IF(AND(F27&lt;&gt;"",SUMIFS(Cant!$I$2:$I$99,Cant!$M$2:$M$99,F27,Cant!$J$2:$J$99,"22/0.4")&gt;0),SUMIFS(Cant!$I$2:$I$99,Cant!$M$2:$M$99,F27,Cant!$J$2:$J$99,"22/0.4"),""),""))</f>
        <v/>
      </c>
      <c r="H27" s="98" t="str">
        <f>CONCATENATE(F27)</f>
        <v/>
      </c>
      <c r="I27" s="147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108" t="str">
        <f>CONCATENATE(F27)</f>
        <v/>
      </c>
      <c r="K27" s="148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117" t="str">
        <f>CONCATENATE(F27)</f>
        <v/>
      </c>
      <c r="M27" s="150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70" t="str">
        <f>CONCATENATE(F27)</f>
        <v/>
      </c>
      <c r="O27" s="37" t="str">
        <f>IF(AND(F27&lt;&gt;"",COUNTIF($F$11:F26,F27)&gt;0),"",IFERROR(IF(AND(N27&lt;&gt;"",SUMIFS(Cant!$I$2:$I$99,Cant!$M$2:$M$99,N27,Cant!$J$2:$J$99,"43/1.0")&gt;0),SUMIFS(Cant!$I$2:$I$99,Cant!$M$2:$M$99,N27,Cant!$J$2:$J$99,"43/1.0"),""),""))</f>
        <v/>
      </c>
      <c r="P27" s="70" t="str">
        <f>CONCATENATE(F27)</f>
        <v/>
      </c>
      <c r="Q27" s="172" t="str">
        <f>IF(AND(F27&lt;&gt;"",COUNTIF($F$11:F26,F27)&gt;0),"",IFERROR(IF(AND(P27&lt;&gt;"",SUMIFS(Cant!$I$2:$I$99,Cant!$M$2:$M$99,P27,Cant!$J$2:$J$99,"43/1.5")&gt;0),SUMIFS(Cant!$I$2:$I$99,Cant!$M$2:$M$99,P27,Cant!$J$2:$J$99,"43/1.5"),""),""))</f>
        <v/>
      </c>
      <c r="R27" s="70" t="str">
        <f>CONCATENATE(F27)</f>
        <v/>
      </c>
      <c r="S27" s="172" t="str">
        <f>IF(AND(F27&lt;&gt;"",COUNTIF($F$11:F26,F27)&gt;0),"",IFERROR(IF(AND(R27&lt;&gt;"",SUMIFS(Cant!$I$2:$I$99,Cant!$M$2:$M$99,R27,Cant!$J$2:$J$99,"43/2.0")&gt;0),SUMIFS(Cant!$I$2:$I$99,Cant!$M$2:$M$99,R27,Cant!$J$2:$J$99,"43/2.0"),""),""))</f>
        <v/>
      </c>
    </row>
    <row r="28" spans="1:19" ht="15.75" thickBot="1">
      <c r="A28" s="180"/>
      <c r="B28" s="70" t="str" cm="1">
        <f t="array" ref="B28">IFERROR(_xlfn.SINGLE(INDEX(Deco!$Y$2:$Y$99,_xlfn.AGGREGATE(15,6,ROW(Deco!$Y$2:$Y$99)-ROW(Deco!$Y$2)+1/(Deco!$W$2:$W$99="MDF"),5))),"")</f>
        <v/>
      </c>
      <c r="C28" s="134" t="str">
        <f>IF(D28="buc",IF(B28&lt;&gt;"",INDEX(Deco!$C$2:$C$99,MATCH(B28,Deco!$Y$2:$Y$99,0)),""),IF(B28&lt;&gt;"",INDEX(Deco!$V$2:$V$99,MATCH(B28,Deco!$Y$2:$Y$99,0)),""))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8"/>
      <c r="F28" s="170" t="str">
        <f t="shared" si="8"/>
        <v/>
      </c>
      <c r="G28" s="141" t="str">
        <f>IF(AND(F28&lt;&gt;"",COUNTIF($F$11:F27,F28)&gt;0),"",IFERROR(IF(AND(F28&lt;&gt;"",SUMIFS(Cant!$I$2:$I$99,Cant!$M$2:$M$99,F28,Cant!$J$2:$J$99,"22/0.4")&gt;0),SUMIFS(Cant!$I$2:$I$99,Cant!$M$2:$M$99,F28,Cant!$J$2:$J$99,"22/0.4"),""),""))</f>
        <v/>
      </c>
      <c r="H28" s="102" t="str">
        <f>CONCATENATE(F28)</f>
        <v/>
      </c>
      <c r="I28" s="142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112" t="str">
        <f>CONCATENATE(F28)</f>
        <v/>
      </c>
      <c r="K28" s="143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121" t="str">
        <f>CONCATENATE(F28)</f>
        <v/>
      </c>
      <c r="M28" s="144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71" t="str">
        <f>CONCATENATE(F28)</f>
        <v/>
      </c>
      <c r="O28" s="31" t="str">
        <f>IF(AND(F28&lt;&gt;"",COUNTIF($F$11:F27,F28)&gt;0),"",IFERROR(IF(AND(N28&lt;&gt;"",SUMIFS(Cant!$I$2:$I$99,Cant!$M$2:$M$99,N28,Cant!$J$2:$J$99,"43/1.0")&gt;0),SUMIFS(Cant!$I$2:$I$99,Cant!$M$2:$M$99,N28,Cant!$J$2:$J$99,"43/1.0"),""),""))</f>
        <v/>
      </c>
      <c r="P28" s="71" t="str">
        <f>CONCATENATE(F28)</f>
        <v/>
      </c>
      <c r="Q28" s="31" t="str">
        <f>IF(AND(F28&lt;&gt;"",COUNTIF($F$11:F27,F28)&gt;0),"",IFERROR(IF(AND(P28&lt;&gt;"",SUMIFS(Cant!$I$2:$I$99,Cant!$M$2:$M$99,P28,Cant!$J$2:$J$99,"43/1.5")&gt;0),SUMIFS(Cant!$I$2:$I$99,Cant!$M$2:$M$99,P28,Cant!$J$2:$J$99,"43/1.5"),""),""))</f>
        <v/>
      </c>
      <c r="R28" s="71" t="str">
        <f>CONCATENATE(F28)</f>
        <v/>
      </c>
      <c r="S28" s="31" t="str">
        <f>IF(AND(F28&lt;&gt;"",COUNTIF($F$11:F27,F28)&gt;0),"",IFERROR(IF(AND(R28&lt;&gt;"",SUMIFS(Cant!$I$2:$I$99,Cant!$M$2:$M$99,R28,Cant!$J$2:$J$99,"43/2.0")&gt;0),SUMIFS(Cant!$I$2:$I$99,Cant!$M$2:$M$99,R28,Cant!$J$2:$J$99,"43/2.0"),""),""))</f>
        <v/>
      </c>
    </row>
    <row r="29" spans="1:19" s="51" customFormat="1" ht="15.75" hidden="1" customHeight="1" thickBot="1">
      <c r="A29" s="54"/>
      <c r="B29" s="79"/>
      <c r="C29" s="79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9"/>
      <c r="F29" s="92"/>
      <c r="G29" s="93"/>
      <c r="H29" s="103"/>
      <c r="I29" s="103"/>
      <c r="J29" s="113"/>
      <c r="K29" s="113"/>
      <c r="L29" s="122"/>
      <c r="M29" s="122"/>
      <c r="N29" s="79"/>
      <c r="O29" s="79"/>
      <c r="P29" s="79"/>
      <c r="Q29" s="79"/>
    </row>
    <row r="30" spans="1:19" ht="15.75" thickBot="1">
      <c r="A30" s="62" t="s">
        <v>67</v>
      </c>
      <c r="B30" s="57" t="str" cm="1">
        <f t="array" ref="B30">IFERROR(_xlfn.SINGLE(INDEX(Deco!$Y$2:$Y$99,_xlfn.AGGREGATE(15,6,ROW(Deco!$Y$2:$Y$99)-ROW(Deco!$Y$2)+1/(Deco!$W$2:$W$99="HDF"),1))),"")</f>
        <v/>
      </c>
      <c r="C30" s="61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9"/>
      <c r="F30" s="87"/>
      <c r="G30" s="88"/>
      <c r="H30" s="100"/>
      <c r="I30" s="100"/>
      <c r="J30" s="110"/>
      <c r="K30" s="110"/>
      <c r="L30" s="119"/>
      <c r="M30" s="119"/>
      <c r="N30" s="49"/>
      <c r="O30" s="49"/>
      <c r="P30" s="49"/>
      <c r="Q30" s="49"/>
      <c r="R30" s="51"/>
      <c r="S30" s="51"/>
    </row>
    <row r="31" spans="1:19" ht="2.1" hidden="1" customHeight="1" thickBot="1">
      <c r="A31" s="55"/>
      <c r="B31" s="65"/>
      <c r="C31" s="49"/>
      <c r="D31" s="66"/>
      <c r="E31" s="49"/>
      <c r="F31" s="94"/>
      <c r="G31" s="95"/>
      <c r="H31" s="104"/>
      <c r="I31" s="104"/>
      <c r="J31" s="114"/>
      <c r="K31" s="114"/>
      <c r="L31" s="123"/>
      <c r="M31" s="123"/>
      <c r="N31" s="59"/>
      <c r="O31" s="59"/>
      <c r="P31" s="59"/>
      <c r="Q31" s="59"/>
      <c r="R31" s="80"/>
      <c r="S31" s="80"/>
    </row>
    <row r="32" spans="1:19" ht="15.75" customHeight="1">
      <c r="A32" s="204" t="s">
        <v>80</v>
      </c>
      <c r="B32" s="57" t="str" cm="1">
        <f t="array" ref="B32">IFERROR(_xlfn.SINGLE(INDEX(Deco!$Y$2:$Y$99,_xlfn.AGGREGATE(15,6,ROW(Deco!$Y$2:$Y$99)-ROW(Deco!$Y$2)+1/(Deco!$W$2:$W$99="Blat"),1))),"")</f>
        <v/>
      </c>
      <c r="C32" s="61" t="str">
        <f>IF(D32="buc",IF(B32&lt;&gt;"",INDEX(Deco!$C$2:$C$99,MATCH(B32,Deco!$Y$2:$Y$99,0)),""),IF(B32&lt;&gt;"",INDEX(Deco!$V$2:$V$99,MATCH(B32,Deco!$Y$2:$Y$99,0)),""))</f>
        <v/>
      </c>
      <c r="D32" s="29" t="s">
        <v>55</v>
      </c>
      <c r="E32" s="2"/>
      <c r="F32" s="89" t="str">
        <f>IF(B32&lt;&gt;"",TRIM(LEFT(B32,LEN(B32)-4)),"")</f>
        <v/>
      </c>
      <c r="G32" s="90" t="str">
        <f>IF(AND(F32&lt;&gt;"",COUNTIF($F$11:F31,F32)&gt;0),"",IFERROR(IF(AND(F32&lt;&gt;"",SUMIFS(Cant!$I$2:$I$99,Cant!$M$2:$M$99,F32,Cant!$J$2:$J$99,"22/0.4")&gt;0),SUMIFS(Cant!$I$2:$I$99,Cant!$M$2:$M$99,F32,Cant!$J$2:$J$99,"22/0.4"),""),""))</f>
        <v/>
      </c>
      <c r="H32" s="97" t="str">
        <f>CONCATENATE(F32)</f>
        <v/>
      </c>
      <c r="I32" s="173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107" t="str">
        <f>CONCATENATE(F32)</f>
        <v/>
      </c>
      <c r="K32" s="11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116" t="str">
        <f>CONCATENATE(F32)</f>
        <v/>
      </c>
      <c r="M32" s="120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57" t="str">
        <f>CONCATENATE(F32)</f>
        <v/>
      </c>
      <c r="O32" s="29" t="str">
        <f>IF(AND(F32&lt;&gt;"",COUNTIF($F$11:F31,F32)&gt;0),"",IFERROR(IF(COUNTIF(F$11:F$22,N32)&gt;0,"",IF(AND(N32&lt;&gt;"",SUMIFS(Cant!$I$2:$I$100,Cant!$M$2:$M$100,N32,Cant!$J$2:$J$100,"43/1.0")&gt;0),SUMIFS(Cant!$I$2:$I$100,Cant!$M$2:$M$100,N32,Cant!$J$2:$J$100,"43/1.0"),"")),""))</f>
        <v/>
      </c>
      <c r="P32" s="57" t="str">
        <f>CONCATENATE(F32)</f>
        <v/>
      </c>
      <c r="Q32" s="171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57" t="str">
        <f>CONCATENATE(F32)</f>
        <v/>
      </c>
      <c r="S32" s="171" t="str">
        <f>IF(AND(F32&lt;&gt;"",COUNTIF($F$11:F31,F32)&gt;0),"",IFERROR(IF(AND(R32&lt;&gt;"",SUMIFS(Cant!$I$2:$I$99,Cant!$M$2:$M$99,R32,Cant!$J$2:$J$99,"43/2.0")&gt;0),SUMIFS(Cant!$I$2:$I$99,Cant!$M$2:$M$99,R32,Cant!$J$2:$J$99,"43/2.0"),""),""))</f>
        <v/>
      </c>
    </row>
    <row r="33" spans="1:19">
      <c r="A33" s="205"/>
      <c r="B33" s="70" t="str" cm="1">
        <f t="array" ref="B33">IFERROR(_xlfn.SINGLE(INDEX(Deco!$Y$2:$Y$99,_xlfn.AGGREGATE(15,6,ROW(Deco!$Y$2:$Y$99)-ROW(Deco!$Y$2)+1/(Deco!$W$2:$W$99="Blat"),2))),"")</f>
        <v/>
      </c>
      <c r="C33" s="134" t="str">
        <f>IF(D33="buc",IF(B33&lt;&gt;"",INDEX(Deco!$C$2:$C$99,MATCH(B33,Deco!$Y$2:$Y$99,0)),""),IF(B33&lt;&gt;"",INDEX(Deco!$V$2:$V$99,MATCH(B33,Deco!$Y$2:$Y$99,0)),""))</f>
        <v/>
      </c>
      <c r="D33" s="30" t="s">
        <v>55</v>
      </c>
      <c r="E33" s="2"/>
      <c r="F33" s="85" t="str">
        <f>IF(B33&lt;&gt;"",TRIM(LEFT(B33,LEN(B33)-4)),"")</f>
        <v/>
      </c>
      <c r="G33" s="86" t="str">
        <f>IF(AND(F33&lt;&gt;"",COUNTIF($F$11:F32,F33)&gt;0),"",IFERROR(IF(AND(F33&lt;&gt;"",SUMIFS(Cant!$I$2:$I$99,Cant!$M$2:$M$99,F33,Cant!$J$2:$J$99,"22/0.4")&gt;0),SUMIFS(Cant!$I$2:$I$99,Cant!$M$2:$M$99,F33,Cant!$J$2:$J$99,"22/0.4"),""),""))</f>
        <v/>
      </c>
      <c r="H33" s="98" t="str">
        <f>CONCATENATE(F33)</f>
        <v/>
      </c>
      <c r="I33" s="174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108" t="str">
        <f>CONCATENATE(F33)</f>
        <v/>
      </c>
      <c r="K33" s="109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117" t="str">
        <f>CONCATENATE(F33)</f>
        <v/>
      </c>
      <c r="M33" s="118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70" t="str">
        <f>CONCATENATE(F33)</f>
        <v/>
      </c>
      <c r="O33" s="30" t="str">
        <f>IF(AND(F33&lt;&gt;"",COUNTIF($F$11:F32,F33)&gt;0),"",IFERROR(IF(COUNTIF(F$11:F$22,N33)&gt;0,"",IF(AND(N33&lt;&gt;"",SUMIFS(Cant!$I$2:$I$100,Cant!$M$2:$M$100,N33,Cant!$J$2:$J$100,"43/1.0")&gt;0),SUMIFS(Cant!$I$2:$I$100,Cant!$M$2:$M$100,N33,Cant!$J$2:$J$100,"43/1.0"),"")),""))</f>
        <v/>
      </c>
      <c r="P33" s="70" t="str">
        <f>CONCATENATE(F33)</f>
        <v/>
      </c>
      <c r="Q33" s="172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70" t="str">
        <f>CONCATENATE(F33)</f>
        <v/>
      </c>
      <c r="S33" s="172" t="str">
        <f>IF(AND(F33&lt;&gt;"",COUNTIF($F$11:F32,F33)&gt;0),"",IFERROR(IF(AND(R33&lt;&gt;"",SUMIFS(Cant!$I$2:$I$99,Cant!$M$2:$M$99,R33,Cant!$J$2:$J$99,"43/2.0")&gt;0),SUMIFS(Cant!$I$2:$I$99,Cant!$M$2:$M$99,R33,Cant!$J$2:$J$99,"43/2.0"),""),""))</f>
        <v/>
      </c>
    </row>
    <row r="34" spans="1:19" ht="15.75" thickBot="1">
      <c r="A34" s="206"/>
      <c r="B34" s="70" t="str" cm="1">
        <f t="array" ref="B34">IFERROR(_xlfn.SINGLE(INDEX(Deco!$Y$2:$Y$99,_xlfn.AGGREGATE(15,6,ROW(Deco!$Y$2:$Y$99)-ROW(Deco!$Y$2)+1/(Deco!$W$2:$W$99="Blat"),3))),"")</f>
        <v/>
      </c>
      <c r="C34" s="134" t="str">
        <f>IF(D34="buc",IF(B34&lt;&gt;"",INDEX(Deco!$C$2:$C$99,MATCH(B34,Deco!$Y$2:$Y$99,0)),""),IF(B34&lt;&gt;"",INDEX(Deco!$V$2:$V$99,MATCH(B34,Deco!$Y$2:$Y$99,0)),""))</f>
        <v/>
      </c>
      <c r="D34" s="31" t="s">
        <v>55</v>
      </c>
      <c r="E34" s="2"/>
      <c r="F34" s="85" t="str">
        <f>IF(B34&lt;&gt;"",TRIM(LEFT(B34,LEN(B34)-4)),"")</f>
        <v/>
      </c>
      <c r="G34" s="86" t="str">
        <f>IF(AND(F34&lt;&gt;"",COUNTIF($F$11:F33,F34)&gt;0),"",IFERROR(IF(AND(F34&lt;&gt;"",SUMIFS(Cant!$I$2:$I$99,Cant!$M$2:$M$99,F34,Cant!$J$2:$J$99,"22/0.4")&gt;0),SUMIFS(Cant!$I$2:$I$99,Cant!$M$2:$M$99,F34,Cant!$J$2:$J$99,"22/0.4"),""),""))</f>
        <v/>
      </c>
      <c r="H34" s="98" t="str">
        <f>CONCATENATE(F34)</f>
        <v/>
      </c>
      <c r="I34" s="99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108" t="str">
        <f>CONCATENATE(F34)</f>
        <v/>
      </c>
      <c r="K34" s="109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117" t="str">
        <f>CONCATENATE(F34)</f>
        <v/>
      </c>
      <c r="M34" s="118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70" t="str">
        <f>CONCATENATE(F34)</f>
        <v/>
      </c>
      <c r="O34" s="30" t="str">
        <f>IF(AND(F34&lt;&gt;"",COUNTIF($F$11:F33,F34)&gt;0),"",IFERROR(IF(COUNTIF(F$11:F$22,N34)&gt;0,"",IF(AND(N34&lt;&gt;"",SUMIFS(Cant!$I$2:$I$100,Cant!$M$2:$M$100,N34,Cant!$J$2:$J$100,"43/1.0")&gt;0),SUMIFS(Cant!$I$2:$I$100,Cant!$M$2:$M$100,N34,Cant!$J$2:$J$100,"43/1.0"),"")),""))</f>
        <v/>
      </c>
      <c r="P34" s="70" t="str">
        <f>CONCATENATE(F34)</f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70" t="str">
        <f>CONCATENATE(F34)</f>
        <v/>
      </c>
      <c r="S34" s="30" t="str">
        <f>IF(AND(F34&lt;&gt;"",COUNTIF($F$11:F33,F34)&gt;0),"",IFERROR(IF(AND(R34&lt;&gt;"",SUMIFS(Cant!$I$2:$I$99,Cant!$M$2:$M$99,R34,Cant!$J$2:$J$99,"43/2.0")&gt;0),SUMIFS(Cant!$I$2:$I$99,Cant!$M$2:$M$99,R34,Cant!$J$2:$J$99,"43/2.0"),""),""))</f>
        <v/>
      </c>
    </row>
    <row r="35" spans="1:19" s="51" customFormat="1" ht="2.1" hidden="1" customHeight="1">
      <c r="A35" s="56"/>
      <c r="B35" s="65"/>
      <c r="C35" s="49"/>
      <c r="D35" s="66"/>
      <c r="E35" s="49"/>
      <c r="F35" s="88"/>
      <c r="G35" s="88"/>
      <c r="H35" s="100"/>
      <c r="I35" s="100"/>
      <c r="J35" s="110"/>
      <c r="K35" s="110"/>
      <c r="L35" s="119"/>
      <c r="M35" s="119"/>
      <c r="N35" s="49"/>
      <c r="O35" s="49"/>
      <c r="P35" s="49"/>
      <c r="Q35" s="49"/>
      <c r="R35" s="58"/>
      <c r="S35" s="58"/>
    </row>
    <row r="36" spans="1:19">
      <c r="A36" s="204" t="s">
        <v>81</v>
      </c>
      <c r="B36" s="57" t="str" cm="1">
        <f t="array" ref="B36">IFERROR(_xlfn.SINGLE(INDEX(Deco!$Y$2:$Y$99,_xlfn.AGGREGATE(15,6,ROW(Deco!$Y$2:$Y$99)-ROW(Deco!$Y$2)+1/(Deco!$W$2:$W$99="PS"),1))),"")</f>
        <v/>
      </c>
      <c r="C36" s="61" t="str">
        <f>IF(D36="buc",IF(B36&lt;&gt;"",INDEX(Deco!$C$2:$C$99,MATCH(B36,Deco!$Y$2:$Y$99,0)),""),IF(B36&lt;&gt;"",INDEX(Deco!$V$2:$V$99,MATCH(B36,Deco!$Y$2:$Y$99,0)),""))</f>
        <v/>
      </c>
      <c r="D36" s="29" t="s">
        <v>55</v>
      </c>
      <c r="E36" s="2"/>
      <c r="F36" s="89" t="str">
        <f>IF(B36&lt;&gt;"",TRIM(LEFT(B36,LEN(B36)-3)),"")</f>
        <v/>
      </c>
      <c r="G36" s="90" t="str">
        <f>IF(AND(F36&lt;&gt;"",COUNTIF($F$11:F35,F36)&gt;0),"",IFERROR(IF(AND(F36&lt;&gt;"",SUMIFS(Cant!$I$2:$I$99,Cant!$M$2:$M$99,F36,Cant!$J$2:$J$99,"22/0.4")&gt;0),SUMIFS(Cant!$I$2:$I$99,Cant!$M$2:$M$99,F36,Cant!$J$2:$J$99,"22/0.4"),""),""))</f>
        <v/>
      </c>
      <c r="H36" s="97" t="str">
        <f>CONCATENATE(F36)</f>
        <v/>
      </c>
      <c r="I36" s="173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107" t="str">
        <f>CONCATENATE(F36)</f>
        <v/>
      </c>
      <c r="K36" s="11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116" t="str">
        <f>CONCATENATE(F36)</f>
        <v/>
      </c>
      <c r="M36" s="120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57" t="str">
        <f>CONCATENATE(F36)</f>
        <v/>
      </c>
      <c r="O36" s="29" t="str">
        <f>IF(AND(F36&lt;&gt;"",COUNTIF($F$11:F35,F36)&gt;0),"",IFERROR(IF(COUNTIF(H$11:H$22,N36)&gt;0,"",IF(AND(N36&lt;&gt;"",SUMIFS(Cant!$I$2:$I$100,Cant!$M$2:$M$100,N36,Cant!$J$2:$J$100,"43/1.0")&gt;0),SUMIFS(Cant!$I$2:$I$100,Cant!$M$2:$M$100,N36,Cant!$J$2:$J$100,"43/1.0"),"")),""))</f>
        <v/>
      </c>
      <c r="P36" s="57" t="str">
        <f>CONCATENATE(F36)</f>
        <v/>
      </c>
      <c r="Q36" s="171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57" t="str">
        <f>CONCATENATE(F36)</f>
        <v/>
      </c>
      <c r="S36" s="171" t="str">
        <f>IF(AND(F36&lt;&gt;"",COUNTIF($F$11:F35,F36)&gt;0),"",IFERROR(IF(AND(R36&lt;&gt;"",SUMIFS(Cant!$I$2:$I$99,Cant!$M$2:$M$99,R36,Cant!$J$2:$J$99,"43/2.0")&gt;0),SUMIFS(Cant!$I$2:$I$99,Cant!$M$2:$M$99,R36,Cant!$J$2:$J$99,"43/2.0"),""),""))</f>
        <v/>
      </c>
    </row>
    <row r="37" spans="1:19">
      <c r="A37" s="205"/>
      <c r="B37" s="70" t="str" cm="1">
        <f t="array" ref="B37">IFERROR(_xlfn.SINGLE(INDEX(Deco!$Y$2:$Y$99,_xlfn.AGGREGATE(15,6,ROW(Deco!$Y$2:$Y$99)-ROW(Deco!$Y$2)+1/(Deco!$W$2:$W$99="PS"),2))),"")</f>
        <v/>
      </c>
      <c r="C37" s="134" t="str">
        <f>IF(D37="buc",IF(B37&lt;&gt;"",INDEX(Deco!$C$2:$C$99,MATCH(B37,Deco!$Y$2:$Y$99,0)),""),IF(B37&lt;&gt;"",INDEX(Deco!$V$2:$V$99,MATCH(B37,Deco!$Y$2:$Y$99,0)),""))</f>
        <v/>
      </c>
      <c r="D37" s="30" t="s">
        <v>55</v>
      </c>
      <c r="E37" s="2"/>
      <c r="F37" s="85" t="str">
        <f>IF(B37&lt;&gt;"",TRIM(LEFT(B37,LEN(B37)-3)),"")</f>
        <v/>
      </c>
      <c r="G37" s="86" t="str">
        <f>IF(AND(F37&lt;&gt;"",COUNTIF($F$11:F36,F37)&gt;0),"",IFERROR(IF(AND(F37&lt;&gt;"",SUMIFS(Cant!$I$2:$I$99,Cant!$M$2:$M$99,F37,Cant!$J$2:$J$99,"22/0.4")&gt;0),SUMIFS(Cant!$I$2:$I$99,Cant!$M$2:$M$99,F37,Cant!$J$2:$J$99,"22/0.4"),""),""))</f>
        <v/>
      </c>
      <c r="H37" s="105" t="str">
        <f>CONCATENATE(F37)</f>
        <v/>
      </c>
      <c r="I37" s="174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108" t="str">
        <f>CONCATENATE(F37)</f>
        <v/>
      </c>
      <c r="K37" s="109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117" t="str">
        <f>CONCATENATE(F37)</f>
        <v/>
      </c>
      <c r="M37" s="118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70" t="str">
        <f>CONCATENATE(F37)</f>
        <v/>
      </c>
      <c r="O37" s="30" t="str">
        <f>IF(AND(F37&lt;&gt;"",COUNTIF($F$11:F36,F37)&gt;0),"",IFERROR(IF(COUNTIF(H$11:H$22,N37)&gt;0,"",IF(AND(N37&lt;&gt;"",SUMIFS(Cant!$I$2:$I$100,Cant!$M$2:$M$100,N37,Cant!$J$2:$J$100,"43/1.0")&gt;0),SUMIFS(Cant!$I$2:$I$100,Cant!$M$2:$M$100,N37,Cant!$J$2:$J$100,"43/1.0"),"")),""))</f>
        <v/>
      </c>
      <c r="P37" s="70" t="str">
        <f>CONCATENATE(F37)</f>
        <v/>
      </c>
      <c r="Q37" s="172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70" t="str">
        <f>CONCATENATE(F37)</f>
        <v/>
      </c>
      <c r="S37" s="172" t="str">
        <f>IF(AND(F37&lt;&gt;"",COUNTIF($F$11:F36,F37)&gt;0),"",IFERROR(IF(AND(R37&lt;&gt;"",SUMIFS(Cant!$I$2:$I$99,Cant!$M$2:$M$99,R37,Cant!$J$2:$J$99,"43/2.0")&gt;0),SUMIFS(Cant!$I$2:$I$99,Cant!$M$2:$M$99,R37,Cant!$J$2:$J$99,"43/2.0"),""),""))</f>
        <v/>
      </c>
    </row>
    <row r="38" spans="1:19" ht="15.75" thickBot="1">
      <c r="A38" s="206"/>
      <c r="B38" s="71" t="str" cm="1">
        <f t="array" ref="B38">IFERROR(_xlfn.SINGLE(INDEX(Deco!$Y$2:$Y$99,_xlfn.AGGREGATE(15,6,ROW(Deco!$Y$2:$Y$99)-ROW(Deco!$Y$2)+1/(Deco!$W$2:$W$99="PS"),3))),"")</f>
        <v/>
      </c>
      <c r="C38" s="134" t="str">
        <f>IF(D38="buc",IF(B38&lt;&gt;"",INDEX(Deco!$C$2:$C$99,MATCH(B38,Deco!$Y$2:$Y$99,0)),""),IF(B38&lt;&gt;"",INDEX(Deco!$V$2:$V$99,MATCH(B38,Deco!$Y$2:$Y$99,0)),""))</f>
        <v/>
      </c>
      <c r="D38" s="31" t="s">
        <v>55</v>
      </c>
      <c r="E38" s="2"/>
      <c r="F38" s="91" t="str">
        <f>IF(B38&lt;&gt;"",TRIM(LEFT(B38,LEN(B38)-3)),"")</f>
        <v/>
      </c>
      <c r="G38" s="141" t="str">
        <f>IF(AND(F38&lt;&gt;"",COUNTIF($F$11:F37,F38)&gt;0),"",IFERROR(IF(AND(F38&lt;&gt;"",SUMIFS(Cant!$I$2:$I$99,Cant!$M$2:$M$99,F38,Cant!$J$2:$J$99,"22/0.4")&gt;0),SUMIFS(Cant!$I$2:$I$99,Cant!$M$2:$M$99,F38,Cant!$J$2:$J$99,"22/0.4"),""),""))</f>
        <v/>
      </c>
      <c r="H38" s="102" t="str">
        <f>CONCATENATE(F38)</f>
        <v/>
      </c>
      <c r="I38" s="99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112" t="str">
        <f>CONCATENATE(F38)</f>
        <v/>
      </c>
      <c r="K38" s="14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121" t="str">
        <f>CONCATENATE(F38)</f>
        <v/>
      </c>
      <c r="M38" s="14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71" t="str">
        <f>CONCATENATE(F38)</f>
        <v/>
      </c>
      <c r="O38" s="30" t="str">
        <f>IF(AND(F38&lt;&gt;"",COUNTIF($F$11:F37,F38)&gt;0),"",IFERROR(IF(COUNTIF(H$11:H$22,N38)&gt;0,"",IF(AND(N38&lt;&gt;"",SUMIFS(Cant!$I$2:$I$100,Cant!$M$2:$M$100,N38,Cant!$J$2:$J$100,"43/1.0")&gt;0),SUMIFS(Cant!$I$2:$I$100,Cant!$M$2:$M$100,N38,Cant!$J$2:$J$100,"43/1.0"),"")),""))</f>
        <v/>
      </c>
      <c r="P38" s="71" t="str">
        <f>CONCATENATE(F38)</f>
        <v/>
      </c>
      <c r="Q38" s="30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71" t="str">
        <f>CONCATENATE(F38)</f>
        <v/>
      </c>
      <c r="S38" s="172" t="str">
        <f>IF(AND(F38&lt;&gt;"",COUNTIF($F$11:F37,F38)&gt;0),"",IFERROR(IF(AND(R38&lt;&gt;"",SUMIFS(Cant!$I$2:$I$99,Cant!$M$2:$M$99,R38,Cant!$J$2:$J$99,"43/2.0")&gt;0),SUMIFS(Cant!$I$2:$I$99,Cant!$M$2:$M$99,R38,Cant!$J$2:$J$99,"43/2.0"),""),""))</f>
        <v/>
      </c>
    </row>
    <row r="39" spans="1:19" ht="2.1" hidden="1" customHeight="1"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4"/>
    </row>
    <row r="40" spans="1:19" ht="15.75" thickBot="1">
      <c r="A40" s="240" t="s">
        <v>51</v>
      </c>
      <c r="B40" s="32" t="s">
        <v>68</v>
      </c>
      <c r="C40" s="32" t="s">
        <v>72</v>
      </c>
      <c r="D40" s="18" t="s">
        <v>52</v>
      </c>
      <c r="F40" s="231" t="s">
        <v>73</v>
      </c>
      <c r="G40" s="232"/>
      <c r="H40" s="232"/>
      <c r="I40" s="232"/>
      <c r="J40" s="232"/>
      <c r="K40" s="232"/>
      <c r="L40" s="232"/>
      <c r="M40" s="232"/>
      <c r="N40" s="232"/>
      <c r="O40" s="232"/>
      <c r="P40" s="232"/>
      <c r="Q40" s="232"/>
      <c r="R40" s="232"/>
      <c r="S40" s="233"/>
    </row>
    <row r="41" spans="1:19" ht="15.75" thickBot="1">
      <c r="A41" s="179"/>
      <c r="B41" s="35" t="s">
        <v>83</v>
      </c>
      <c r="C41" s="29">
        <f>SUMIF(Taiere!I2:I99, "PAL", Taiere!C2:C99)+SUMIF(Taiere!I2:I99, "DB PAL", Taiere!C2:C99)</f>
        <v>0</v>
      </c>
      <c r="D41" s="73" t="s">
        <v>54</v>
      </c>
      <c r="E41" s="2"/>
      <c r="F41" s="75" t="s">
        <v>28</v>
      </c>
      <c r="G41" s="60">
        <f>SUM(G11:G29)+SUM(G32:G38)</f>
        <v>0</v>
      </c>
      <c r="H41" s="52" t="s">
        <v>29</v>
      </c>
      <c r="I41" s="60">
        <f>SUM(I11:I29)+SUM(I32:I38)</f>
        <v>0</v>
      </c>
      <c r="J41" s="26" t="s">
        <v>16</v>
      </c>
      <c r="K41" s="60">
        <f>SUM(K11:K29)+SUM(K32:K38)</f>
        <v>0</v>
      </c>
      <c r="L41" s="19" t="s">
        <v>19</v>
      </c>
      <c r="M41" s="60">
        <f>SUM(M11:M29)+SUM(M32:M38)</f>
        <v>0</v>
      </c>
      <c r="N41" s="47" t="s">
        <v>82</v>
      </c>
      <c r="O41" s="60">
        <f>SUM(O11:O29)+SUM(O32:O38)</f>
        <v>0</v>
      </c>
      <c r="P41" s="46" t="s">
        <v>69</v>
      </c>
      <c r="Q41" s="60">
        <f>SUM(Q11:Q29)+SUM(Q32:Q38)</f>
        <v>0</v>
      </c>
      <c r="R41" s="47" t="s">
        <v>18</v>
      </c>
      <c r="S41" s="60">
        <f>SUM(S11:S29)+SUM(S32:S38)</f>
        <v>0</v>
      </c>
    </row>
    <row r="42" spans="1:19" ht="15.75" thickBot="1">
      <c r="A42" s="179"/>
      <c r="B42" s="50" t="s">
        <v>90</v>
      </c>
      <c r="C42" s="37">
        <f>SUMIF(Taiere!I2:I99, "CLEAF", Taiere!C2:C99)</f>
        <v>0</v>
      </c>
      <c r="D42" s="74" t="s">
        <v>54</v>
      </c>
      <c r="E42" s="2"/>
      <c r="F42" s="67"/>
      <c r="G42" s="81"/>
      <c r="H42" s="68"/>
      <c r="I42" s="81"/>
      <c r="J42" s="69"/>
      <c r="K42" s="81"/>
      <c r="L42" s="68"/>
      <c r="M42" s="81"/>
      <c r="N42" s="69"/>
      <c r="O42" s="81"/>
      <c r="P42" s="69"/>
      <c r="Q42" s="81"/>
      <c r="R42" s="82"/>
      <c r="S42" s="198">
        <f>IF(COUNTIF(Deco!AA2:AA34,"Vezi EK")&gt;0,0,1)</f>
        <v>1</v>
      </c>
    </row>
    <row r="43" spans="1:19" ht="15.75" thickBot="1">
      <c r="A43" s="179"/>
      <c r="B43" s="50" t="s">
        <v>84</v>
      </c>
      <c r="C43" s="30">
        <f>SUMIF(B32:B34, "*/600", C32:C34) + SUMIF(B32:B34, "*/650", C32:C34)</f>
        <v>0</v>
      </c>
      <c r="D43" s="74" t="s">
        <v>55</v>
      </c>
      <c r="E43" s="2"/>
      <c r="F43" s="228" t="str">
        <f>IF(COUNTIF(Deco!AA2:AA34,"Vezi EK")&gt;0,"Atentie! Verifica EK dublaje","Nr. Piese Dublaje")</f>
        <v>Nr. Piese Dublaje</v>
      </c>
      <c r="G43" s="229"/>
      <c r="H43" s="229"/>
      <c r="I43" s="229"/>
      <c r="J43" s="229"/>
      <c r="K43" s="229"/>
      <c r="L43" s="229"/>
      <c r="M43" s="229"/>
      <c r="N43" s="229"/>
      <c r="O43" s="229"/>
      <c r="P43" s="229"/>
      <c r="Q43" s="229"/>
      <c r="R43" s="229"/>
      <c r="S43" s="245"/>
    </row>
    <row r="44" spans="1:19">
      <c r="A44" s="179"/>
      <c r="B44" s="50" t="s">
        <v>89</v>
      </c>
      <c r="C44" s="30">
        <f>SUMIF(B32:B34, "*/920", C32:C34)</f>
        <v>0</v>
      </c>
      <c r="D44" s="74" t="s">
        <v>55</v>
      </c>
      <c r="E44" s="2"/>
      <c r="F44" s="24" t="s">
        <v>64</v>
      </c>
      <c r="G44" s="25" t="s">
        <v>72</v>
      </c>
      <c r="H44" s="24" t="s">
        <v>64</v>
      </c>
      <c r="I44" s="25" t="s">
        <v>72</v>
      </c>
      <c r="J44" s="34" t="s">
        <v>64</v>
      </c>
      <c r="K44" s="25" t="s">
        <v>72</v>
      </c>
      <c r="L44" s="34" t="s">
        <v>64</v>
      </c>
      <c r="M44" s="25" t="s">
        <v>72</v>
      </c>
      <c r="N44" s="34" t="s">
        <v>64</v>
      </c>
      <c r="O44" s="25" t="s">
        <v>72</v>
      </c>
      <c r="P44" s="34" t="s">
        <v>64</v>
      </c>
      <c r="Q44" s="25" t="s">
        <v>72</v>
      </c>
      <c r="R44" s="34" t="s">
        <v>64</v>
      </c>
      <c r="S44" s="25" t="s">
        <v>72</v>
      </c>
    </row>
    <row r="45" spans="1:19" ht="15.75" thickBot="1">
      <c r="A45" s="179"/>
      <c r="B45" s="33" t="s">
        <v>91</v>
      </c>
      <c r="C45" s="30">
        <f>SUM(C36:C38)</f>
        <v>0</v>
      </c>
      <c r="D45" s="74" t="str">
        <f>IF(I3="Mobilier în Roomdesigner", "ml", "buc")</f>
        <v>buc</v>
      </c>
      <c r="E45" s="2"/>
      <c r="F45" s="43" t="str">
        <f>IFERROR(INDEX(
        Deco!$Z$2:$Z$100,
        _xlfn.AGGREGATE(
            15,6,
            ROW(Deco!$Z$2:$Z$100)-ROW(Deco!$Z$2)+1/
            ((Deco!$W$2:$W$100="DB PAL")+(Deco!$W$2:$W$100="DB MDF")),
            1
        )
    ),
    "")</f>
        <v/>
      </c>
      <c r="G45" s="31" t="str">
        <f>IFERROR(IF(F45&lt;&gt;"",INDEX(Deco!$V$2:$V$100,MATCH(F45,Deco!$Z$2:$Z$100,0))*2,""),"")</f>
        <v/>
      </c>
      <c r="H45" s="43" t="str" cm="1">
        <f t="array" ref="H45">IFERROR(_xlfn.SINGLE(INDEX(
        Deco!$Z$2:$Z$100,
        _xlfn.AGGREGATE(
            15,6,
            ROW(Deco!$Z$2:$Z$100)-ROW(Deco!$Z$2)+1/
            ((Deco!$W$2:$W$100="DB PAL")+(Deco!$W$2:$W$100="DB MDF")),
            2
        )
    )),
    "")</f>
        <v/>
      </c>
      <c r="I45" s="31" t="str">
        <f>IFERROR(IF(H45&lt;&gt;"",INDEX(Deco!$V$2:$V$100,MATCH(H45,Deco!$Z$2:$Z$100,0))*2,""),"")</f>
        <v/>
      </c>
      <c r="J45" s="71" t="str" cm="1">
        <f t="array" ref="J45">IFERROR(_xlfn.SINGLE(INDEX(
        Deco!$Z$2:$Z$100,
        _xlfn.AGGREGATE(
            15,6,
            ROW(Deco!$Z$2:$Z$100)-ROW(Deco!$Z$2)+1/
            ((Deco!$W$2:$W$100="DB PAL")+(Deco!$W$2:$W$100="DB MDF")),
            3
        )
    )),
    "")</f>
        <v/>
      </c>
      <c r="K45" s="31" t="str">
        <f>IFERROR(IF(J45&lt;&gt;"",INDEX(Deco!$V$2:$V$100,MATCH(J45,Deco!$Z$2:$Z$100,0))*2,""),"")</f>
        <v/>
      </c>
      <c r="L45" s="71" t="str" cm="1">
        <f t="array" ref="L45">IFERROR(_xlfn.SINGLE(INDEX(
        Deco!$Z$2:$Z$100,
        _xlfn.AGGREGATE(
            15,6,
            ROW(Deco!$Z$2:$Z$100)-ROW(Deco!$Z$2)+1/
            ((Deco!$W$2:$W$100="DB PAL")+(Deco!$W$2:$W$100="DB MDF")),
            4
        )
    )),
    "")</f>
        <v/>
      </c>
      <c r="M45" s="31" t="str">
        <f>IFERROR(IF(L45&lt;&gt;"",INDEX(Deco!$V$2:$V$100,MATCH(L45,Deco!$Z$2:$Z$100,0))*2,""),"")</f>
        <v/>
      </c>
      <c r="N45" s="71" t="str" cm="1">
        <f t="array" ref="N45">IFERROR(_xlfn.SINGLE(INDEX(
        Deco!$Z$2:$Z$100,
        _xlfn.AGGREGATE(
            15,6,
            ROW(Deco!$Z$2:$Z$100)-ROW(Deco!$Z$2)+1/
            ((Deco!$W$2:$W$100="DB PAL")+(Deco!$W$2:$W$100="DB MDF")),
            5
        )
    )),
    "")</f>
        <v/>
      </c>
      <c r="O45" s="31" t="str">
        <f>IFERROR(IF(N45&lt;&gt;"",INDEX(Deco!$V$2:$V$100,MATCH(N45,Deco!$Z$2:$Z$100,0))*2,""),"")</f>
        <v/>
      </c>
      <c r="P45" s="71" t="str" cm="1">
        <f t="array" ref="P45">IFERROR(_xlfn.SINGLE(INDEX(
        Deco!$Z$2:$Z$100,
        _xlfn.AGGREGATE(
            15,6,
            ROW(Deco!$Z$2:$Z$100)-ROW(Deco!$Z$2)+1/
            ((Deco!$W$2:$W$100="DB PAL")+(Deco!$W$2:$W$100="DB MDF")),
            6
        )
    )),
    "")</f>
        <v/>
      </c>
      <c r="Q45" s="31" t="str">
        <f>IFERROR(IF(P45&lt;&gt;"",INDEX(Deco!$V$2:$V$100,MATCH(P45,Deco!$Z$2:$Z$100,0))*2,""),"")</f>
        <v/>
      </c>
      <c r="R45" s="71" t="str" cm="1">
        <f t="array" ref="R45">IFERROR(_xlfn.SINGLE(INDEX(
        Deco!$Z$2:$Z$100,
        _xlfn.AGGREGATE(
            15,6,
            ROW(Deco!$Z$2:$Z$100)-ROW(Deco!$Z$2)+1/
            ((Deco!$W$2:$W$100="DB PAL")+(Deco!$W$2:$W$100="DB MDF")),
            7
        )
    )),
    "")</f>
        <v/>
      </c>
      <c r="S45" s="44" t="str">
        <f>IFERROR(IF(R45&lt;&gt;"",INDEX(Deco!$V$2:$V$100,MATCH(R45,Deco!$Z$2:$Z$100,0))*2,""),"")</f>
        <v/>
      </c>
    </row>
    <row r="46" spans="1:19" ht="15.75" thickBot="1">
      <c r="A46" s="179"/>
      <c r="B46" s="33" t="s">
        <v>85</v>
      </c>
      <c r="C46" s="30" t="str">
        <f>IF(B30&lt;&gt;"",INDEX(Deco!$C$2:$C$99,MATCH(B30,Deco!$Y$2:$Y$99,0)),"")</f>
        <v/>
      </c>
      <c r="D46" s="74" t="s">
        <v>55</v>
      </c>
      <c r="E46" s="2"/>
    </row>
    <row r="47" spans="1:19">
      <c r="A47" s="179"/>
      <c r="B47" s="33" t="s">
        <v>86</v>
      </c>
      <c r="C47" s="30">
        <f>SUMIF(Taiere!I2:I99, "MDF", Taiere!C2:C99)+SUMIF(Taiere!I2:I99, "DB MDF", Taiere!C2:C99)</f>
        <v>0</v>
      </c>
      <c r="D47" s="74" t="s">
        <v>54</v>
      </c>
      <c r="F47" s="198" t="s">
        <v>34</v>
      </c>
      <c r="G47" s="211" t="str">
        <f>IF(I6="PLAN M",SUM(C11:C28), "N/A")</f>
        <v>N/A</v>
      </c>
      <c r="J47" s="198" t="s">
        <v>88</v>
      </c>
      <c r="K47" s="200">
        <v>1</v>
      </c>
      <c r="N47" s="198" t="s">
        <v>110</v>
      </c>
      <c r="O47" s="246"/>
      <c r="P47" s="247"/>
      <c r="R47" s="198" t="s">
        <v>116</v>
      </c>
      <c r="S47" s="198"/>
    </row>
    <row r="48" spans="1:19" ht="15.75" thickBot="1">
      <c r="A48" s="180"/>
      <c r="B48" s="36" t="s">
        <v>87</v>
      </c>
      <c r="C48" s="31">
        <f>ROUND(SUM(F45:S45),0)*2</f>
        <v>0</v>
      </c>
      <c r="D48" s="72" t="s">
        <v>55</v>
      </c>
      <c r="F48" s="199"/>
      <c r="G48" s="212"/>
      <c r="J48" s="199"/>
      <c r="K48" s="201"/>
      <c r="N48" s="245"/>
      <c r="O48" s="248"/>
      <c r="P48" s="249"/>
      <c r="R48" s="245"/>
      <c r="S48" s="199"/>
    </row>
    <row r="49" spans="1:19" ht="2.1" hidden="1" customHeight="1">
      <c r="A49" s="40"/>
      <c r="B49" s="41"/>
      <c r="C49" s="1"/>
      <c r="D49" s="2"/>
    </row>
    <row r="50" spans="1:19">
      <c r="A50" s="178" t="s">
        <v>66</v>
      </c>
      <c r="B50" s="189"/>
      <c r="C50" s="190"/>
      <c r="D50" s="190"/>
      <c r="E50" s="190"/>
      <c r="F50" s="190"/>
      <c r="G50" s="190"/>
      <c r="H50" s="190"/>
      <c r="I50" s="190"/>
      <c r="J50" s="190"/>
      <c r="K50" s="190"/>
      <c r="L50" s="190"/>
      <c r="M50" s="190"/>
      <c r="N50" s="190"/>
      <c r="O50" s="190"/>
      <c r="P50" s="190"/>
      <c r="Q50" s="190"/>
      <c r="R50" s="190"/>
      <c r="S50" s="191"/>
    </row>
    <row r="51" spans="1:19">
      <c r="A51" s="179"/>
      <c r="B51" s="192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/>
      <c r="R51" s="193"/>
      <c r="S51" s="194"/>
    </row>
    <row r="52" spans="1:19">
      <c r="A52" s="179"/>
      <c r="B52" s="192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/>
      <c r="R52" s="193"/>
      <c r="S52" s="194"/>
    </row>
    <row r="53" spans="1:19">
      <c r="A53" s="179"/>
      <c r="B53" s="192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/>
      <c r="R53" s="193"/>
      <c r="S53" s="194"/>
    </row>
    <row r="54" spans="1:19">
      <c r="A54" s="179"/>
      <c r="B54" s="192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/>
      <c r="R54" s="193"/>
      <c r="S54" s="194"/>
    </row>
    <row r="55" spans="1:19">
      <c r="A55" s="179"/>
      <c r="B55" s="192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/>
      <c r="R55" s="193"/>
      <c r="S55" s="194"/>
    </row>
    <row r="56" spans="1:19">
      <c r="A56" s="179"/>
      <c r="B56" s="192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/>
      <c r="R56" s="193"/>
      <c r="S56" s="194"/>
    </row>
    <row r="57" spans="1:19" ht="15.75" thickBot="1">
      <c r="A57" s="180"/>
      <c r="B57" s="195"/>
      <c r="C57" s="196"/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7"/>
    </row>
  </sheetData>
  <mergeCells count="42">
    <mergeCell ref="S42:S43"/>
    <mergeCell ref="N47:N48"/>
    <mergeCell ref="O47:P48"/>
    <mergeCell ref="L9:M9"/>
    <mergeCell ref="B5:D5"/>
    <mergeCell ref="H9:I9"/>
    <mergeCell ref="B6:D6"/>
    <mergeCell ref="I6:K6"/>
    <mergeCell ref="I5:K5"/>
    <mergeCell ref="F43:R43"/>
    <mergeCell ref="O1:S1"/>
    <mergeCell ref="O2:S2"/>
    <mergeCell ref="O6:S6"/>
    <mergeCell ref="F8:S8"/>
    <mergeCell ref="F40:S40"/>
    <mergeCell ref="A1:L1"/>
    <mergeCell ref="O3:S3"/>
    <mergeCell ref="O4:S4"/>
    <mergeCell ref="O5:S5"/>
    <mergeCell ref="A10:A22"/>
    <mergeCell ref="A24:A28"/>
    <mergeCell ref="R9:S9"/>
    <mergeCell ref="A40:A48"/>
    <mergeCell ref="B3:D3"/>
    <mergeCell ref="R47:R48"/>
    <mergeCell ref="S47:S48"/>
    <mergeCell ref="I3:K3"/>
    <mergeCell ref="A50:A57"/>
    <mergeCell ref="A8:D9"/>
    <mergeCell ref="N9:O9"/>
    <mergeCell ref="B50:S57"/>
    <mergeCell ref="F47:F48"/>
    <mergeCell ref="J47:J48"/>
    <mergeCell ref="K47:K48"/>
    <mergeCell ref="P9:Q9"/>
    <mergeCell ref="A32:A34"/>
    <mergeCell ref="A36:A38"/>
    <mergeCell ref="J9:K9"/>
    <mergeCell ref="F9:G9"/>
    <mergeCell ref="G47:G48"/>
    <mergeCell ref="B4:D4"/>
    <mergeCell ref="I4:K4"/>
  </mergeCells>
  <phoneticPr fontId="10" type="noConversion"/>
  <pageMargins left="0.7" right="0.7" top="0.75" bottom="0.75" header="0.3" footer="0.3"/>
  <pageSetup paperSize="9" scale="64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3"/>
  <sheetViews>
    <sheetView workbookViewId="0">
      <selection activeCell="I15" sqref="I15"/>
    </sheetView>
  </sheetViews>
  <sheetFormatPr defaultRowHeight="15"/>
  <cols>
    <col min="1" max="1" width="21" bestFit="1" customWidth="1"/>
    <col min="4" max="4" width="15.42578125" customWidth="1"/>
    <col min="5" max="5" width="9.140625" style="127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27" t="str" cm="1">
        <f t="array" ref="E2">IF(Fisa!I3="Debitare căntuire",IF(LEFT(Fisa!B11,3)="AGT",B2*3.416, IF(OR(RIGHT(Fisa!B11,1)={"0","1","2","3","4","5","6","7","8","9"},RIGHT(Fisa!B11,2)="SM",RIGHT(Fisa!B11,2)="PM",RIGHT(Fisa!B11,2)="PG",RIGHT(Fisa!B11,2)="mm"), B2*5.796, B2)),B2)</f>
        <v/>
      </c>
      <c r="F2" t="s">
        <v>53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27" t="str" cm="1">
        <f t="array" ref="E3">IF(Fisa!I3="Debitare căntuire",IF(LEFT(Fisa!B12,3)="AGT",B3*3.416, IF(OR(RIGHT(Fisa!B12,1)={"0","1","2","3","4","5","6","7","8","9"},RIGHT(Fisa!B12,2)="SM",RIGHT(Fisa!B12,2)="PM",RIGHT(Fisa!B12,2)="PG",RIGHT(Fisa!B12,2)="mm"), B3*5.796, B3)),B3)</f>
        <v/>
      </c>
      <c r="F3" t="s">
        <v>53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27" t="str" cm="1">
        <f t="array" ref="E4">IF(Fisa!I3="Debitare căntuire",IF(LEFT(Fisa!B13,3)="AGT",B4*3.416, IF(OR(RIGHT(Fisa!B13,1)={"0","1","2","3","4","5","6","7","8","9"},RIGHT(Fisa!B13,2)="SM",RIGHT(Fisa!B13,2)="PM",RIGHT(Fisa!B13,2)="PG",RIGHT(Fisa!B13,2)="mm"), B4*5.796, B4)),B4)</f>
        <v/>
      </c>
      <c r="F4" t="s">
        <v>53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27" t="str" cm="1">
        <f t="array" ref="E5">IF(Fisa!I3="Debitare căntuire",IF(LEFT(Fisa!B14,3)="AGT",B5*3.416, IF(OR(RIGHT(Fisa!B14,1)={"0","1","2","3","4","5","6","7","8","9"},RIGHT(Fisa!B14,2)="SM",RIGHT(Fisa!B14,2)="PM",RIGHT(Fisa!B14,2)="PG",RIGHT(Fisa!B14,2)="mm"), B5*5.796, B5)),B5)</f>
        <v/>
      </c>
      <c r="F5" t="s">
        <v>53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27" t="str" cm="1">
        <f t="array" ref="E6">IF(Fisa!I3="Debitare căntuire",IF(LEFT(Fisa!B15,3)="AGT",B6*3.416, IF(OR(RIGHT(Fisa!B15,1)={"0","1","2","3","4","5","6","7","8","9"},RIGHT(Fisa!B15,2)="SM",RIGHT(Fisa!B15,2)="PM",RIGHT(Fisa!B15,2)="PG",RIGHT(Fisa!B15,2)="mm"), B6*5.796, B6)),B6)</f>
        <v/>
      </c>
      <c r="F6" t="s">
        <v>53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27" t="str" cm="1">
        <f t="array" ref="E7">IF(Fisa!I3="Debitare căntuire",IF(LEFT(Fisa!B16,3)="AGT",B7*3.416, IF(OR(RIGHT(Fisa!B16,1)={"0","1","2","3","4","5","6","7","8","9"},RIGHT(Fisa!B16,2)="SM",RIGHT(Fisa!B16,2)="PM",RIGHT(Fisa!B16,2)="PG",RIGHT(Fisa!B16,2)="mm"), B7*5.796, B7)),B7)</f>
        <v/>
      </c>
      <c r="F7" t="s">
        <v>53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27" t="str" cm="1">
        <f t="array" ref="E8">IF(Fisa!I3="Debitare căntuire",IF(LEFT(Fisa!B17,3)="AGT",B8*3.416, IF(OR(RIGHT(Fisa!B17,1)={"0","1","2","3","4","5","6","7","8","9"},RIGHT(Fisa!B17,2)="SM",RIGHT(Fisa!B17,2)="PM",RIGHT(Fisa!B17,2)="PG",RIGHT(Fisa!B17,2)="mm"), B8*5.796, B8)),B8)</f>
        <v/>
      </c>
      <c r="F8" t="s">
        <v>53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27" t="str" cm="1">
        <f t="array" ref="E9">IF(Fisa!I3="Debitare căntuire",IF(LEFT(Fisa!B18,3)="AGT",B9*3.416, IF(OR(RIGHT(Fisa!B18,1)={"0","1","2","3","4","5","6","7","8","9"},RIGHT(Fisa!B18,2)="SM",RIGHT(Fisa!B18,2)="PM",RIGHT(Fisa!B18,2)="PG",RIGHT(Fisa!B18,2)="mm"), B9*5.796, B9)),B9)</f>
        <v/>
      </c>
      <c r="F9" t="s">
        <v>53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27" t="str" cm="1">
        <f t="array" ref="E10">IF(Fisa!I3="Debitare căntuire",IF(LEFT(Fisa!B19,3)="AGT",B10*3.416, IF(OR(RIGHT(Fisa!B19,1)={"0","1","2","3","4","5","6","7","8","9"},RIGHT(Fisa!B19,2)="SM",RIGHT(Fisa!B19,2)="PM",RIGHT(Fisa!B19,2)="PG",RIGHT(Fisa!B19,2)="mm"), B10*5.796, B10)),B10)</f>
        <v/>
      </c>
      <c r="F10" t="s">
        <v>53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27" t="str" cm="1">
        <f t="array" ref="E11">IF(Fisa!I3="Debitare căntuire",IF(LEFT(Fisa!B20,3)="AGT",B11*3.416, IF(OR(RIGHT(Fisa!B20,1)={"0","1","2","3","4","5","6","7","8","9"},RIGHT(Fisa!B20,2)="SM",RIGHT(Fisa!B20,2)="PM",RIGHT(Fisa!B20,2)="PG",RIGHT(Fisa!B20,2)="mm"), B11*5.796, B11)),B11)</f>
        <v/>
      </c>
      <c r="F11" t="s">
        <v>53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27" t="str" cm="1">
        <f t="array" ref="E12">IF(Fisa!I3="Debitare căntuire",IF(LEFT(Fisa!B21,3)="AGT",B12*3.416, IF(OR(RIGHT(Fisa!B21,1)={"0","1","2","3","4","5","6","7","8","9"},RIGHT(Fisa!B21,2)="SM",RIGHT(Fisa!B21,2)="PM",RIGHT(Fisa!B21,2)="PG",RIGHT(Fisa!B21,2)="mm"), B12*5.796, B12)),B12)</f>
        <v/>
      </c>
      <c r="F12" t="s">
        <v>53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27" t="str" cm="1">
        <f t="array" ref="E13">IF(Fisa!I3="Debitare căntuire",IF(LEFT(Fisa!B22,3)="AGT",B13*3.416, IF(OR(RIGHT(Fisa!B22,1)={"0","1","2","3","4","5","6","7","8","9"},RIGHT(Fisa!B22,2)="SM",RIGHT(Fisa!B22,2)="PM",RIGHT(Fisa!B22,2)="PG",RIGHT(Fisa!B22,2)="mm"), B13*5.796, B13)),B13)</f>
        <v/>
      </c>
      <c r="F13" t="s">
        <v>53</v>
      </c>
    </row>
    <row r="14" spans="1:6">
      <c r="A14" t="str">
        <f>Fisa!B24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27" t="str" cm="1">
        <f t="array" ref="E14">IF(Fisa!I3="Debitare căntuire",IF(LEFT(Fisa!B24,3)="AGT",B14*3.416, IF(OR(RIGHT(Fisa!B24,1)={"0","1","2","3","4","5","6","7","8","9"},RIGHT(Fisa!B24,2)="SM",RIGHT(Fisa!B24,2)="PM",RIGHT(Fisa!B24,2)="PG",RIGHT(Fisa!B24,2)="mm"), B14*5.796, B14)),B14)</f>
        <v/>
      </c>
      <c r="F14" t="s">
        <v>53</v>
      </c>
    </row>
    <row r="15" spans="1:6">
      <c r="A15" t="str">
        <f>Fisa!B25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27" t="str" cm="1">
        <f t="array" ref="E15">IF(Fisa!I3="Debitare căntuire",IF(LEFT(Fisa!B25,3)="AGT",B15*3.416, IF(OR(RIGHT(Fisa!B25,1)={"0","1","2","3","4","5","6","7","8","9"},RIGHT(Fisa!B25,2)="SM",RIGHT(Fisa!B25,2)="PM",RIGHT(Fisa!B25,2)="PG",RIGHT(Fisa!B25,2)="mm"), B15*5.796, B15)),B15)</f>
        <v/>
      </c>
      <c r="F15" t="s">
        <v>53</v>
      </c>
    </row>
    <row r="16" spans="1:6">
      <c r="A16" t="str">
        <f>Fisa!B26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27" t="str" cm="1">
        <f t="array" ref="E16">IF(Fisa!I3="Debitare căntuire",IF(LEFT(Fisa!B26,3)="AGT",B16*3.416, IF(OR(RIGHT(Fisa!B26,1)={"0","1","2","3","4","5","6","7","8","9"},RIGHT(Fisa!B26,2)="SM",RIGHT(Fisa!B26,2)="PM",RIGHT(Fisa!B26,2)="PG",RIGHT(Fisa!B26,2)="mm"), B16*5.796, B16)),B16)</f>
        <v/>
      </c>
      <c r="F16" t="s">
        <v>53</v>
      </c>
    </row>
    <row r="17" spans="1:6">
      <c r="A17" t="str">
        <f>Fisa!B27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27" t="str" cm="1">
        <f t="array" ref="E17">IF(Fisa!I3="Debitare căntuire",IF(LEFT(Fisa!B27,3)="AGT",B17*3.416, IF(OR(RIGHT(Fisa!B27,1)={"0","1","2","3","4","5","6","7","8","9"},RIGHT(Fisa!B27,2)="SM",RIGHT(Fisa!B27,2)="PM",RIGHT(Fisa!B27,2)="PG",RIGHT(Fisa!B27,2)="mm"), B17*5.796, B17)),B17)</f>
        <v/>
      </c>
      <c r="F17" t="s">
        <v>53</v>
      </c>
    </row>
    <row r="18" spans="1:6">
      <c r="A18" t="str">
        <f>Fisa!B28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27" t="str" cm="1">
        <f t="array" ref="E18">IF(Fisa!I3="Debitare căntuire",IF(LEFT(Fisa!B28,3)="AGT",B18*3.416, IF(OR(RIGHT(Fisa!B28,1)={"0","1","2","3","4","5","6","7","8","9"},RIGHT(Fisa!B28,2)="SM",RIGHT(Fisa!B28,2)="PM",RIGHT(Fisa!B28,2)="PG",RIGHT(Fisa!B28,2)="mm"), B18*5.796, B18)),B18)</f>
        <v/>
      </c>
      <c r="F18" t="s">
        <v>53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27" t="str">
        <f>IFERROR(B19*4.1, "")</f>
        <v/>
      </c>
      <c r="F19" t="s">
        <v>54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27" t="str">
        <f>IFERROR(B20*4.1, "")</f>
        <v/>
      </c>
      <c r="F20" t="s">
        <v>54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27" t="str">
        <f>IFERROR(B21*4.1, "")</f>
        <v/>
      </c>
      <c r="F21" t="s">
        <v>54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27" t="str">
        <f t="shared" ref="E22:E24" si="1">IFERROR(B22*4.1, "")</f>
        <v/>
      </c>
      <c r="F22" t="s">
        <v>54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27" t="str">
        <f t="shared" si="1"/>
        <v/>
      </c>
      <c r="F23" t="s">
        <v>54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27" t="str">
        <f t="shared" si="1"/>
        <v/>
      </c>
      <c r="F24" t="s">
        <v>54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 t="shared" ref="D25:D98" si="2">CONCATENATE(A25,C25)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si="2"/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si="2"/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2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2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2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2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2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2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2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2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ref="D99:D152" si="3">CONCATENATE(A99,C99)</f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">
        <v>36</v>
      </c>
      <c r="B144" t="str">
        <f>Fisa!C30</f>
        <v/>
      </c>
      <c r="C144" t="str">
        <f>Fisa!D30</f>
        <v>mp</v>
      </c>
      <c r="D144" t="str">
        <f>CONCATENATE(A144," ",F144)</f>
        <v>HDF mp</v>
      </c>
      <c r="E144" t="str">
        <f>IF(Fisa!I3="Debitare căntuire", B144*5.8995, B144)</f>
        <v/>
      </c>
      <c r="F144" t="s">
        <v>53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 t="shared" si="3"/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si="3"/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3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3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3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3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3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3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ref="D153:D191" si="4">CONCATENATE(A153,C153)</f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>
        <f>Fisa!C43</f>
        <v>0</v>
      </c>
      <c r="D187" t="str">
        <f t="shared" si="4"/>
        <v>CUT BLAT 600</v>
      </c>
    </row>
    <row r="188" spans="1:4">
      <c r="A188" t="s">
        <v>31</v>
      </c>
      <c r="B188">
        <f>Fisa!C44</f>
        <v>0</v>
      </c>
      <c r="D188" t="str">
        <f t="shared" si="4"/>
        <v>CUT BLAT 920</v>
      </c>
    </row>
    <row r="189" spans="1:4">
      <c r="A189" t="s">
        <v>32</v>
      </c>
      <c r="B189">
        <f>Fisa!C45</f>
        <v>0</v>
      </c>
      <c r="D189" t="str">
        <f t="shared" si="4"/>
        <v>CUT PS</v>
      </c>
    </row>
    <row r="190" spans="1:4">
      <c r="A190" t="s">
        <v>20</v>
      </c>
      <c r="B190" t="str">
        <f>Fisa!C46</f>
        <v/>
      </c>
      <c r="D190" t="str">
        <f t="shared" si="4"/>
        <v>CUT HDF</v>
      </c>
    </row>
    <row r="191" spans="1:4">
      <c r="A191" t="s">
        <v>21</v>
      </c>
      <c r="B191">
        <f>Fisa!C47</f>
        <v>0</v>
      </c>
      <c r="D191" t="str">
        <f t="shared" si="4"/>
        <v>CUT MDF</v>
      </c>
    </row>
    <row r="192" spans="1:4">
      <c r="A192" t="s">
        <v>22</v>
      </c>
      <c r="B192">
        <f>Fisa!C41</f>
        <v>0</v>
      </c>
      <c r="D192" t="str">
        <f>CONCATENATE(A192,C192)</f>
        <v>CUT PAL</v>
      </c>
    </row>
    <row r="193" spans="1:4">
      <c r="A193" t="s">
        <v>94</v>
      </c>
      <c r="B193">
        <f>Fisa!C42</f>
        <v>0</v>
      </c>
      <c r="D193" t="str">
        <f t="shared" ref="D193:D194" si="5">CONCATENATE(A193,C193)</f>
        <v>CUT CLEAF</v>
      </c>
    </row>
    <row r="194" spans="1:4">
      <c r="A194" t="s">
        <v>23</v>
      </c>
      <c r="B194">
        <f>Fisa!C48</f>
        <v>0</v>
      </c>
      <c r="D194" t="str">
        <f t="shared" si="5"/>
        <v>DUBL_PAL</v>
      </c>
    </row>
    <row r="195" spans="1:4">
      <c r="A195" t="s">
        <v>92</v>
      </c>
      <c r="B195">
        <f>Fisa!G41</f>
        <v>0</v>
      </c>
      <c r="D195" t="str">
        <f t="shared" ref="D195:D201" si="6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6"/>
        <v>Cant 22/1</v>
      </c>
    </row>
    <row r="197" spans="1:4">
      <c r="A197" t="s">
        <v>24</v>
      </c>
      <c r="B197">
        <f>Fisa!K41</f>
        <v>0</v>
      </c>
      <c r="D197" t="str">
        <f t="shared" si="6"/>
        <v>Cant 23/0.8</v>
      </c>
    </row>
    <row r="198" spans="1:4">
      <c r="A198" t="s">
        <v>25</v>
      </c>
      <c r="B198">
        <f>Fisa!M41</f>
        <v>0</v>
      </c>
      <c r="D198" t="str">
        <f t="shared" si="6"/>
        <v>Cant 23/2</v>
      </c>
    </row>
    <row r="199" spans="1:4">
      <c r="A199" t="s">
        <v>93</v>
      </c>
      <c r="B199">
        <f>Fisa!O41</f>
        <v>0</v>
      </c>
      <c r="D199" t="str">
        <f t="shared" si="6"/>
        <v>Cant 43/1</v>
      </c>
    </row>
    <row r="200" spans="1:4">
      <c r="A200" t="s">
        <v>75</v>
      </c>
      <c r="B200">
        <f>Fisa!Q41</f>
        <v>0</v>
      </c>
      <c r="D200" t="str">
        <f t="shared" si="6"/>
        <v>Cant 43/1.5</v>
      </c>
    </row>
    <row r="201" spans="1:4">
      <c r="A201" t="s">
        <v>26</v>
      </c>
      <c r="B201">
        <f>Fisa!S41</f>
        <v>0</v>
      </c>
      <c r="D201" t="str">
        <f t="shared" si="6"/>
        <v>Cant 43/2</v>
      </c>
    </row>
    <row r="202" spans="1:4">
      <c r="A202" t="s">
        <v>27</v>
      </c>
      <c r="B202">
        <f>Fisa!K47</f>
        <v>1</v>
      </c>
      <c r="D202" t="str">
        <f>CONCATENATE(A202,C202)</f>
        <v>CHLTTRMANIP</v>
      </c>
    </row>
    <row r="203" spans="1:4">
      <c r="A203" t="str">
        <f>Fisa!F47</f>
        <v>Proiectare</v>
      </c>
      <c r="B203" t="str">
        <f>Fisa!G47</f>
        <v>N/A</v>
      </c>
      <c r="D203" t="s">
        <v>35</v>
      </c>
    </row>
  </sheetData>
  <autoFilter ref="A1:B202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opLeftCell="A34" workbookViewId="0">
      <selection activeCell="C55" sqref="C55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62" t="s">
        <v>14</v>
      </c>
      <c r="B1" s="262"/>
      <c r="C1" s="262"/>
      <c r="D1" s="262"/>
      <c r="E1" s="262"/>
      <c r="F1" s="262"/>
      <c r="G1" s="262"/>
      <c r="H1" s="262"/>
      <c r="I1" s="262"/>
      <c r="J1" s="262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63">
        <f>Fisa!B3:D3</f>
        <v>0</v>
      </c>
      <c r="C3" s="263"/>
      <c r="D3" s="263"/>
      <c r="E3" s="263"/>
      <c r="F3" s="263"/>
      <c r="G3" s="263"/>
      <c r="H3" s="5"/>
      <c r="I3" s="5"/>
      <c r="J3" s="5"/>
      <c r="K3" s="5"/>
      <c r="L3" s="5"/>
    </row>
    <row r="4" spans="1:12" customFormat="1">
      <c r="A4" s="6" t="s">
        <v>7</v>
      </c>
      <c r="B4" s="264">
        <f>Fisa!B6</f>
        <v>0</v>
      </c>
      <c r="C4" s="264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76</v>
      </c>
      <c r="D25" s="8" t="s">
        <v>95</v>
      </c>
      <c r="E25" s="8" t="s">
        <v>4</v>
      </c>
      <c r="F25" s="8" t="s">
        <v>77</v>
      </c>
      <c r="G25" s="8" t="s">
        <v>96</v>
      </c>
      <c r="H25" s="8" t="s">
        <v>78</v>
      </c>
      <c r="I25" s="8" t="s">
        <v>79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97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124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25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tabSelected="1" zoomScaleNormal="100" workbookViewId="0">
      <selection activeCell="S24" sqref="S24"/>
    </sheetView>
  </sheetViews>
  <sheetFormatPr defaultRowHeight="15"/>
  <cols>
    <col min="1" max="1" width="22.42578125" bestFit="1" customWidth="1"/>
    <col min="18" max="18" width="9.140625" style="166"/>
    <col min="20" max="20" width="9.140625" customWidth="1"/>
    <col min="21" max="21" width="4.140625" customWidth="1"/>
    <col min="22" max="22" width="9.140625" style="169"/>
    <col min="24" max="24" width="19.5703125" bestFit="1" customWidth="1"/>
    <col min="25" max="25" width="19.140625" bestFit="1" customWidth="1"/>
  </cols>
  <sheetData>
    <row r="1" spans="1:27">
      <c r="A1" t="s">
        <v>68</v>
      </c>
      <c r="B1" t="s">
        <v>100</v>
      </c>
      <c r="C1" t="s">
        <v>101</v>
      </c>
      <c r="D1" t="s">
        <v>102</v>
      </c>
      <c r="E1" t="s">
        <v>103</v>
      </c>
      <c r="V1" s="169" t="s">
        <v>3</v>
      </c>
      <c r="W1" t="s">
        <v>105</v>
      </c>
      <c r="X1" t="s">
        <v>106</v>
      </c>
      <c r="Y1" t="s">
        <v>107</v>
      </c>
      <c r="Z1" t="s">
        <v>109</v>
      </c>
      <c r="AA1" t="s">
        <v>117</v>
      </c>
    </row>
    <row r="2" spans="1:27">
      <c r="R2" s="167"/>
      <c r="S2" s="164"/>
      <c r="T2" s="145"/>
      <c r="U2" s="145"/>
      <c r="V2" s="169" t="str">
        <f>IFERROR(IF(OR(W2="DB PAL",W2="DB MDF"),ROUND(Q2/13.5,0), ROUND(Q2/P2,2)),"")</f>
        <v/>
      </c>
      <c r="W2" t="str">
        <f>IF(
    OR(
        AND(D2=2800,E2=2070,OR(B2=19,B2=19.3)),
        AND(D2=2800,E2=1220,B2=18),
        AND(D2=3050,E2=1300,B2=19.3),
        AND(D2=2800,E2=1300,B2=17.5),
        AND(D2=2800,E2=1300,B2=19),
        RIGHT(A2,6)="MDF 3D"
    ),
    "MDF",
    IF(
        AND(
            D2=2800,
            E2=2070,
            OR(B2=18,B2=18.6,B2=8,B2=10,B2=16),
            RIGHT(A2,6)&lt;&gt;"MDF 3D"
        ),
        "PAL",
        IF(
            AND(
                D2=4100,
                OR(E2=600,E2=650,E2=920),
                OR(B2=38,B2=20)
            ),
            "BLAT",
            IF(
                AND(
                    D2=4100,
                    E2=640,
                    OR(B2=9.2,B2=8)
                ),
                "PS",
                IF(
                    OR(
                        AND(D2=2800,E2=2070,OR(B2=38,B2=38.6)),
                        AND(D2=2800,E2=1220,B2=36),
                        AND(D2=3050,E2=1300,B2=38.6),
                        AND(D2=2800,E2=1300,B2=35),
                        AND(D2=2800,E2=1300,B2=38),
                        AND(RIGHT(A2,6)="MDF 3D",B2=36)
                    ),
                    "DB MDF",
                    IF(
                        AND(
                            D2=2800,
                            E2=2070,
                            OR(B2=36,B2=37.2,B2=32,B2=26, B2=28),
                            RIGHT(A2,6)&lt;&gt;"MDF 3D"
                        ),
                        "DB PAL",
                        IF(B2=2.7,"HDF","N/A")
                    )
                )
            )
        )
    )
)</f>
        <v>N/A</v>
      </c>
      <c r="X2" t="str">
        <f>IFERROR(
IF(
ISNUMBER(--LEFT(SUBSTITUTE(TRIM(MID(A2,FIND("-",A2)+1,50)),"LR ","LR"),1)),
"AGT "&amp;SUBSTITUTE(TRIM(MID(A2,FIND("-",A2)+1,50)),"LR ","LR"),
SUBSTITUTE(TRIM(MID(A2,FIND("-",A2)+1,50)),"LR ","LR")
)
&amp;IF(OR(E2=600,E2=650,E2=920)," /"&amp;E2,"")
&amp;IF(E2=640," PS",""),"")
&amp;IF(AND(OR(B2=8,B2=10,B2=16),D2=2800,E2=2070)," "&amp;B2&amp;"mm","")</f>
        <v/>
      </c>
      <c r="Y2" t="str">
        <f t="shared" ref="Y2:Y15" si="0">IF(W2="DB", " ",IF(OR(ISNUMBER(FIND(" ST",X2)),ISNUMBER(FIND(" SM",X2)),ISNUMBER(FIND(" PM",X2)),ISNUMBER(FIND(" TM",X2)),ISNUMBER(FIND(" PG",X2)),ISNUMBER(FIND(" PA",X2))),SUBSTITUTE(X2," ","",1),X2))</f>
        <v/>
      </c>
      <c r="Z2" t="str">
        <f>IF(
    OR(W2="DB PAL",W2="DB MDF"),
    IF(
        OR(
            ISNUMBER(FIND(" ST",X2)),
            ISNUMBER(FIND(" SM",X2)),
            ISNUMBER(FIND(" PM",X2)),
            ISNUMBER(FIND("TM/ST7",X2)),
            ISNUMBER(FIND(" PG",X2)),
            ISNUMBER(FIND(" PA",X2))
        ),
        SUBSTITUTE(X2," ","",1),
        X2
    ),
    " "
)</f>
        <v xml:space="preserve"> </v>
      </c>
      <c r="AA2" t="str">
        <f>IF(OR(W2="DB PAL",W2="DB MDF"), IF(V2=INT(V2),"OK", "Vezi EK"),"")</f>
        <v/>
      </c>
    </row>
    <row r="3" spans="1:27">
      <c r="R3" s="167"/>
      <c r="S3" s="164"/>
      <c r="T3" s="131"/>
      <c r="U3" s="145"/>
      <c r="V3" s="169" t="str">
        <f t="shared" ref="V3:V34" si="1">IFERROR(IF(OR(W3="DB PAL",W3="DB MDF"),ROUND(Q3/13.5,0), ROUND(Q3/P3,2)),"")</f>
        <v/>
      </c>
      <c r="W3" t="str">
        <f t="shared" ref="W3:W34" si="2">IF(
    OR(
        AND(D3=2800,E3=2070,OR(B3=19,B3=19.3)),
        AND(D3=2800,E3=1220,B3=18),
        AND(D3=3050,E3=1300,B3=19.3),
        AND(D3=2800,E3=1300,B3=17.5),
        AND(D3=2800,E3=1300,B3=19),
        RIGHT(A3,6)="MDF 3D"
    ),
    "MDF",
    IF(
        AND(
            D3=2800,
            E3=2070,
            OR(B3=18,B3=18.6,B3=8,B3=10,B3=16),
            RIGHT(A3,6)&lt;&gt;"MDF 3D"
        ),
        "PAL",
        IF(
            AND(
                D3=4100,
                OR(E3=600,E3=650,E3=920),
                OR(B3=38,B3=20)
            ),
            "BLAT",
            IF(
                AND(
                    D3=4100,
                    E3=640,
                    OR(B3=9.2,B3=8)
                ),
                "PS",
                IF(
                    OR(
                        AND(D3=2800,E3=2070,OR(B3=38,B3=38.6)),
                        AND(D3=2800,E3=1220,B3=36),
                        AND(D3=3050,E3=1300,B3=38.6),
                        AND(D3=2800,E3=1300,B3=35),
                        AND(D3=2800,E3=1300,B3=38),
                        AND(RIGHT(A3,6)="MDF 3D",B3=36)
                    ),
                    "DB MDF",
                    IF(
                        AND(
                            D3=2800,
                            E3=2070,
                            OR(B3=36,B3=37.2,B3=32,B3=26, B3=28),
                            RIGHT(A3,6)&lt;&gt;"MDF 3D"
                        ),
                        "DB PAL",
                        IF(B3=2.7,"HDF","N/A")
                    )
                )
            )
        )
    )
)</f>
        <v>N/A</v>
      </c>
      <c r="X3" t="str">
        <f t="shared" ref="X3:X34" si="3">IFERROR(
IF(
ISNUMBER(--LEFT(SUBSTITUTE(TRIM(MID(A3,FIND("-",A3)+1,50)),"LR ","LR"),1)),
"AGT "&amp;SUBSTITUTE(TRIM(MID(A3,FIND("-",A3)+1,50)),"LR ","LR"),
SUBSTITUTE(TRIM(MID(A3,FIND("-",A3)+1,50)),"LR ","LR")
)
&amp;IF(OR(E3=600,E3=650,E3=920)," /"&amp;E3,"")
&amp;IF(E3=640," PS",""),"")
&amp;IF(AND(OR(B3=8,B3=10,B3=16),D3=2800,E3=2070)," "&amp;B3&amp;"mm","")</f>
        <v/>
      </c>
      <c r="Y3" t="str">
        <f t="shared" si="0"/>
        <v/>
      </c>
      <c r="Z3" t="str">
        <f t="shared" ref="Z3:Z34" si="4">IF(
    OR(W3="DB PAL",W3="DB MDF"),
    IF(
        OR(
            ISNUMBER(FIND(" ST",X3)),
            ISNUMBER(FIND(" SM",X3)),
            ISNUMBER(FIND(" PM",X3)),
            ISNUMBER(FIND("TM/ST7",X3)),
            ISNUMBER(FIND(" PG",X3)),
            ISNUMBER(FIND(" PA",X3))
        ),
        SUBSTITUTE(X3," ","",1),
        X3
    ),
    " "
)</f>
        <v xml:space="preserve"> </v>
      </c>
      <c r="AA3" t="str">
        <f t="shared" ref="AA3:AA34" si="5">IF(OR(W3="DB PAL",W3="DB MDF"), IF(V3=INT(V3),"OK", "Vezi EK"),"")</f>
        <v/>
      </c>
    </row>
    <row r="4" spans="1:27">
      <c r="R4" s="167"/>
      <c r="S4" s="164"/>
      <c r="T4" s="145"/>
      <c r="U4" s="131"/>
      <c r="V4" s="169" t="str">
        <f t="shared" si="1"/>
        <v/>
      </c>
      <c r="W4" t="str">
        <f t="shared" si="2"/>
        <v>N/A</v>
      </c>
      <c r="X4" t="str">
        <f t="shared" si="3"/>
        <v/>
      </c>
      <c r="Y4" t="str">
        <f t="shared" si="0"/>
        <v/>
      </c>
      <c r="Z4" t="str">
        <f t="shared" si="4"/>
        <v xml:space="preserve"> </v>
      </c>
      <c r="AA4" t="str">
        <f t="shared" si="5"/>
        <v/>
      </c>
    </row>
    <row r="5" spans="1:27">
      <c r="R5" s="167"/>
      <c r="S5" s="164"/>
      <c r="T5" s="145"/>
      <c r="U5" s="131"/>
      <c r="V5" s="169" t="str">
        <f t="shared" si="1"/>
        <v/>
      </c>
      <c r="W5" t="str">
        <f t="shared" si="2"/>
        <v>N/A</v>
      </c>
      <c r="X5" t="str">
        <f t="shared" si="3"/>
        <v/>
      </c>
      <c r="Y5" t="str">
        <f t="shared" si="0"/>
        <v/>
      </c>
      <c r="Z5" t="str">
        <f t="shared" si="4"/>
        <v xml:space="preserve"> </v>
      </c>
      <c r="AA5" t="str">
        <f t="shared" si="5"/>
        <v/>
      </c>
    </row>
    <row r="6" spans="1:27">
      <c r="R6" s="167"/>
      <c r="S6" s="164"/>
      <c r="T6" s="145"/>
      <c r="U6" s="131"/>
      <c r="V6" s="169" t="str">
        <f t="shared" si="1"/>
        <v/>
      </c>
      <c r="W6" t="str">
        <f t="shared" si="2"/>
        <v>N/A</v>
      </c>
      <c r="X6" t="str">
        <f t="shared" si="3"/>
        <v/>
      </c>
      <c r="Y6" t="str">
        <f t="shared" si="0"/>
        <v/>
      </c>
      <c r="Z6" t="str">
        <f t="shared" si="4"/>
        <v xml:space="preserve"> </v>
      </c>
      <c r="AA6" t="str">
        <f t="shared" si="5"/>
        <v/>
      </c>
    </row>
    <row r="7" spans="1:27">
      <c r="R7" s="167"/>
      <c r="S7" s="164"/>
      <c r="T7" s="131"/>
      <c r="U7" s="131"/>
      <c r="V7" s="169" t="str">
        <f t="shared" si="1"/>
        <v/>
      </c>
      <c r="W7" t="str">
        <f t="shared" si="2"/>
        <v>N/A</v>
      </c>
      <c r="X7" t="str">
        <f t="shared" si="3"/>
        <v/>
      </c>
      <c r="Y7" t="str">
        <f t="shared" si="0"/>
        <v/>
      </c>
      <c r="Z7" t="str">
        <f t="shared" si="4"/>
        <v xml:space="preserve"> </v>
      </c>
      <c r="AA7" t="str">
        <f t="shared" si="5"/>
        <v/>
      </c>
    </row>
    <row r="8" spans="1:27">
      <c r="R8" s="167"/>
      <c r="S8" s="164"/>
      <c r="T8" s="145"/>
      <c r="U8" s="131"/>
      <c r="V8" s="169" t="str">
        <f t="shared" si="1"/>
        <v/>
      </c>
      <c r="W8" t="str">
        <f t="shared" si="2"/>
        <v>N/A</v>
      </c>
      <c r="X8" t="str">
        <f t="shared" si="3"/>
        <v/>
      </c>
      <c r="Y8" t="str">
        <f t="shared" si="0"/>
        <v/>
      </c>
      <c r="Z8" t="str">
        <f t="shared" si="4"/>
        <v xml:space="preserve"> </v>
      </c>
      <c r="AA8" t="str">
        <f t="shared" si="5"/>
        <v/>
      </c>
    </row>
    <row r="9" spans="1:27">
      <c r="R9" s="167"/>
      <c r="S9" s="164"/>
      <c r="T9" s="145"/>
      <c r="U9" s="129"/>
      <c r="V9" s="169" t="str">
        <f t="shared" si="1"/>
        <v/>
      </c>
      <c r="W9" t="str">
        <f t="shared" si="2"/>
        <v>N/A</v>
      </c>
      <c r="X9" t="str">
        <f t="shared" si="3"/>
        <v/>
      </c>
      <c r="Y9" t="str">
        <f t="shared" si="0"/>
        <v/>
      </c>
      <c r="Z9" t="str">
        <f t="shared" si="4"/>
        <v xml:space="preserve"> </v>
      </c>
      <c r="AA9" t="str">
        <f t="shared" si="5"/>
        <v/>
      </c>
    </row>
    <row r="10" spans="1:27">
      <c r="R10" s="167"/>
      <c r="S10" s="164"/>
      <c r="T10" s="145"/>
      <c r="U10" s="145"/>
      <c r="V10" s="169" t="str">
        <f t="shared" si="1"/>
        <v/>
      </c>
      <c r="W10" t="str">
        <f t="shared" si="2"/>
        <v>N/A</v>
      </c>
      <c r="X10" t="str">
        <f t="shared" si="3"/>
        <v/>
      </c>
      <c r="Y10" t="str">
        <f t="shared" si="0"/>
        <v/>
      </c>
      <c r="Z10" t="str">
        <f t="shared" si="4"/>
        <v xml:space="preserve"> </v>
      </c>
      <c r="AA10" t="str">
        <f t="shared" si="5"/>
        <v/>
      </c>
    </row>
    <row r="11" spans="1:27">
      <c r="R11" s="167"/>
      <c r="S11" s="164"/>
      <c r="T11" s="145"/>
      <c r="U11" s="145"/>
      <c r="V11" s="169" t="str">
        <f t="shared" si="1"/>
        <v/>
      </c>
      <c r="W11" t="str">
        <f t="shared" si="2"/>
        <v>N/A</v>
      </c>
      <c r="X11" t="str">
        <f t="shared" si="3"/>
        <v/>
      </c>
      <c r="Y11" t="str">
        <f t="shared" si="0"/>
        <v/>
      </c>
      <c r="Z11" t="str">
        <f t="shared" si="4"/>
        <v xml:space="preserve"> </v>
      </c>
      <c r="AA11" t="str">
        <f t="shared" si="5"/>
        <v/>
      </c>
    </row>
    <row r="12" spans="1:27">
      <c r="R12" s="167"/>
      <c r="S12" s="132"/>
      <c r="T12" s="132"/>
      <c r="U12" s="132"/>
      <c r="V12" s="169" t="str">
        <f t="shared" si="1"/>
        <v/>
      </c>
      <c r="W12" t="str">
        <f t="shared" si="2"/>
        <v>N/A</v>
      </c>
      <c r="X12" t="str">
        <f t="shared" si="3"/>
        <v/>
      </c>
      <c r="Y12" t="str">
        <f t="shared" si="0"/>
        <v/>
      </c>
      <c r="Z12" t="str">
        <f t="shared" si="4"/>
        <v xml:space="preserve"> </v>
      </c>
      <c r="AA12" t="str">
        <f t="shared" si="5"/>
        <v/>
      </c>
    </row>
    <row r="13" spans="1:27">
      <c r="R13" s="167"/>
      <c r="S13" s="160"/>
      <c r="T13" s="159"/>
      <c r="U13" s="165"/>
      <c r="V13" s="169" t="str">
        <f t="shared" si="1"/>
        <v/>
      </c>
      <c r="W13" t="str">
        <f t="shared" si="2"/>
        <v>N/A</v>
      </c>
      <c r="X13" t="str">
        <f t="shared" si="3"/>
        <v/>
      </c>
      <c r="Y13" t="str">
        <f t="shared" si="0"/>
        <v/>
      </c>
      <c r="Z13" t="str">
        <f t="shared" si="4"/>
        <v xml:space="preserve"> </v>
      </c>
      <c r="AA13" t="str">
        <f t="shared" si="5"/>
        <v/>
      </c>
    </row>
    <row r="14" spans="1:27">
      <c r="R14" s="167"/>
      <c r="S14" s="159"/>
      <c r="T14" s="160"/>
      <c r="U14" s="165"/>
      <c r="V14" s="169" t="str">
        <f t="shared" si="1"/>
        <v/>
      </c>
      <c r="W14" t="str">
        <f t="shared" si="2"/>
        <v>N/A</v>
      </c>
      <c r="X14" t="str">
        <f t="shared" si="3"/>
        <v/>
      </c>
      <c r="Y14" t="str">
        <f t="shared" si="0"/>
        <v/>
      </c>
      <c r="Z14" t="str">
        <f t="shared" si="4"/>
        <v xml:space="preserve"> </v>
      </c>
      <c r="AA14" t="str">
        <f t="shared" si="5"/>
        <v/>
      </c>
    </row>
    <row r="15" spans="1:27">
      <c r="R15" s="167"/>
      <c r="S15" s="160"/>
      <c r="T15" s="160"/>
      <c r="U15" s="132"/>
      <c r="V15" s="169" t="str">
        <f t="shared" si="1"/>
        <v/>
      </c>
      <c r="W15" t="str">
        <f t="shared" si="2"/>
        <v>N/A</v>
      </c>
      <c r="X15" t="str">
        <f t="shared" si="3"/>
        <v/>
      </c>
      <c r="Y15" t="str">
        <f t="shared" si="0"/>
        <v/>
      </c>
      <c r="Z15" t="str">
        <f t="shared" si="4"/>
        <v xml:space="preserve"> </v>
      </c>
      <c r="AA15" t="str">
        <f t="shared" si="5"/>
        <v/>
      </c>
    </row>
    <row r="16" spans="1:27">
      <c r="R16" s="168"/>
      <c r="S16" s="160"/>
      <c r="T16" s="160"/>
      <c r="U16" s="131"/>
      <c r="V16" s="169" t="str">
        <f t="shared" si="1"/>
        <v/>
      </c>
      <c r="W16" t="str">
        <f t="shared" si="2"/>
        <v>N/A</v>
      </c>
      <c r="X16" t="str">
        <f t="shared" si="3"/>
        <v/>
      </c>
      <c r="Y16" t="str">
        <f t="shared" ref="Y16:Y24" si="6">IF(W16="DB", " ",IF(OR(ISNUMBER(FIND(" ST",X16)),ISNUMBER(FIND(" SM",X16)),ISNUMBER(FIND(" PM",X16)),ISNUMBER(FIND(" TM",X16)),ISNUMBER(FIND(" PG",X16)),ISNUMBER(FIND(" PA",X16))),SUBSTITUTE(X16," ","",1),X16))</f>
        <v/>
      </c>
      <c r="Z16" t="str">
        <f t="shared" si="4"/>
        <v xml:space="preserve"> </v>
      </c>
      <c r="AA16" t="str">
        <f t="shared" si="5"/>
        <v/>
      </c>
    </row>
    <row r="17" spans="1:27">
      <c r="R17" s="168"/>
      <c r="S17" s="160"/>
      <c r="T17" s="160"/>
      <c r="U17" s="131"/>
      <c r="V17" s="169" t="str">
        <f t="shared" si="1"/>
        <v/>
      </c>
      <c r="W17" t="str">
        <f t="shared" si="2"/>
        <v>N/A</v>
      </c>
      <c r="X17" t="str">
        <f t="shared" si="3"/>
        <v/>
      </c>
      <c r="Y17" t="str">
        <f t="shared" si="6"/>
        <v/>
      </c>
      <c r="Z17" t="str">
        <f t="shared" si="4"/>
        <v xml:space="preserve"> </v>
      </c>
      <c r="AA17" t="str">
        <f t="shared" si="5"/>
        <v/>
      </c>
    </row>
    <row r="18" spans="1:27">
      <c r="A18" s="154"/>
      <c r="B18" s="155"/>
      <c r="C18" s="156"/>
      <c r="D18" s="157"/>
      <c r="E18" s="157"/>
      <c r="F18" s="158"/>
      <c r="G18" s="155"/>
      <c r="H18" s="159"/>
      <c r="I18" s="155"/>
      <c r="J18" s="160"/>
      <c r="K18" s="163"/>
      <c r="L18" s="163"/>
      <c r="M18" s="159"/>
      <c r="N18" s="163"/>
      <c r="O18" s="163"/>
      <c r="P18" s="159"/>
      <c r="Q18" s="163"/>
      <c r="R18" s="168"/>
      <c r="S18" s="160"/>
      <c r="T18" s="160"/>
      <c r="U18" s="131"/>
      <c r="V18" s="169" t="str">
        <f t="shared" si="1"/>
        <v/>
      </c>
      <c r="W18" t="str">
        <f t="shared" si="2"/>
        <v>N/A</v>
      </c>
      <c r="X18" t="str">
        <f t="shared" si="3"/>
        <v/>
      </c>
      <c r="Y18" t="str">
        <f t="shared" si="6"/>
        <v/>
      </c>
      <c r="Z18" t="str">
        <f t="shared" si="4"/>
        <v xml:space="preserve"> </v>
      </c>
      <c r="AA18" t="str">
        <f t="shared" si="5"/>
        <v/>
      </c>
    </row>
    <row r="19" spans="1:27">
      <c r="A19" s="154"/>
      <c r="B19" s="155"/>
      <c r="C19" s="156"/>
      <c r="D19" s="157"/>
      <c r="E19" s="157"/>
      <c r="F19" s="158"/>
      <c r="G19" s="155"/>
      <c r="H19" s="159"/>
      <c r="I19" s="155"/>
      <c r="J19" s="159"/>
      <c r="K19" s="163"/>
      <c r="L19" s="163"/>
      <c r="M19" s="161"/>
      <c r="N19" s="163"/>
      <c r="O19" s="163"/>
      <c r="P19" s="160"/>
      <c r="Q19" s="163"/>
      <c r="R19" s="168"/>
      <c r="S19" s="160"/>
      <c r="T19" s="160"/>
      <c r="V19" s="169" t="str">
        <f t="shared" si="1"/>
        <v/>
      </c>
      <c r="W19" t="str">
        <f t="shared" si="2"/>
        <v>N/A</v>
      </c>
      <c r="X19" t="str">
        <f t="shared" si="3"/>
        <v/>
      </c>
      <c r="Y19" t="str">
        <f t="shared" si="6"/>
        <v/>
      </c>
      <c r="Z19" t="str">
        <f t="shared" si="4"/>
        <v xml:space="preserve"> </v>
      </c>
      <c r="AA19" t="str">
        <f t="shared" si="5"/>
        <v/>
      </c>
    </row>
    <row r="20" spans="1:27">
      <c r="A20" s="154"/>
      <c r="B20" s="155"/>
      <c r="C20" s="156"/>
      <c r="D20" s="157"/>
      <c r="E20" s="157"/>
      <c r="F20" s="162"/>
      <c r="G20" s="155"/>
      <c r="H20" s="159"/>
      <c r="I20" s="155"/>
      <c r="J20" s="160"/>
      <c r="K20" s="163"/>
      <c r="L20" s="163"/>
      <c r="M20" s="161"/>
      <c r="N20" s="163"/>
      <c r="O20" s="163"/>
      <c r="P20" s="159"/>
      <c r="Q20" s="163"/>
      <c r="R20" s="168"/>
      <c r="S20" s="159"/>
      <c r="T20" s="155"/>
      <c r="V20" s="169" t="str">
        <f t="shared" si="1"/>
        <v/>
      </c>
      <c r="W20" t="str">
        <f t="shared" si="2"/>
        <v>N/A</v>
      </c>
      <c r="X20" t="str">
        <f t="shared" si="3"/>
        <v/>
      </c>
      <c r="Y20" t="str">
        <f t="shared" si="6"/>
        <v/>
      </c>
      <c r="Z20" t="str">
        <f t="shared" si="4"/>
        <v xml:space="preserve"> </v>
      </c>
      <c r="AA20" t="str">
        <f t="shared" si="5"/>
        <v/>
      </c>
    </row>
    <row r="21" spans="1:27">
      <c r="A21" s="154"/>
      <c r="B21" s="155"/>
      <c r="C21" s="156"/>
      <c r="D21" s="157"/>
      <c r="E21" s="157"/>
      <c r="F21" s="158"/>
      <c r="G21" s="155"/>
      <c r="H21" s="160"/>
      <c r="I21" s="155"/>
      <c r="J21" s="160"/>
      <c r="K21" s="163"/>
      <c r="L21" s="163"/>
      <c r="M21" s="160"/>
      <c r="N21" s="163"/>
      <c r="O21" s="163"/>
      <c r="P21" s="160"/>
      <c r="Q21" s="163"/>
      <c r="R21" s="168"/>
      <c r="S21" s="160"/>
      <c r="T21" s="159"/>
      <c r="V21" s="169" t="str">
        <f t="shared" si="1"/>
        <v/>
      </c>
      <c r="W21" t="str">
        <f t="shared" si="2"/>
        <v>N/A</v>
      </c>
      <c r="X21" t="str">
        <f t="shared" si="3"/>
        <v/>
      </c>
      <c r="Y21" t="str">
        <f t="shared" si="6"/>
        <v/>
      </c>
      <c r="Z21" t="str">
        <f t="shared" si="4"/>
        <v xml:space="preserve"> </v>
      </c>
      <c r="AA21" t="str">
        <f t="shared" si="5"/>
        <v/>
      </c>
    </row>
    <row r="22" spans="1:27">
      <c r="V22" s="169" t="str">
        <f t="shared" si="1"/>
        <v/>
      </c>
      <c r="W22" t="str">
        <f t="shared" si="2"/>
        <v>N/A</v>
      </c>
      <c r="X22" t="str">
        <f t="shared" si="3"/>
        <v/>
      </c>
      <c r="Y22" t="str">
        <f t="shared" si="6"/>
        <v/>
      </c>
      <c r="Z22" t="str">
        <f t="shared" si="4"/>
        <v xml:space="preserve"> </v>
      </c>
      <c r="AA22" t="str">
        <f t="shared" si="5"/>
        <v/>
      </c>
    </row>
    <row r="23" spans="1:27">
      <c r="V23" s="169" t="str">
        <f t="shared" si="1"/>
        <v/>
      </c>
      <c r="W23" t="str">
        <f t="shared" si="2"/>
        <v>N/A</v>
      </c>
      <c r="X23" t="str">
        <f t="shared" si="3"/>
        <v/>
      </c>
      <c r="Y23" t="str">
        <f t="shared" si="6"/>
        <v/>
      </c>
      <c r="Z23" t="str">
        <f t="shared" si="4"/>
        <v xml:space="preserve"> </v>
      </c>
      <c r="AA23" t="str">
        <f t="shared" si="5"/>
        <v/>
      </c>
    </row>
    <row r="24" spans="1:27">
      <c r="V24" s="169" t="str">
        <f t="shared" si="1"/>
        <v/>
      </c>
      <c r="W24" t="str">
        <f t="shared" si="2"/>
        <v>N/A</v>
      </c>
      <c r="X24" t="str">
        <f t="shared" si="3"/>
        <v/>
      </c>
      <c r="Y24" t="str">
        <f t="shared" si="6"/>
        <v/>
      </c>
      <c r="Z24" t="str">
        <f t="shared" si="4"/>
        <v xml:space="preserve"> </v>
      </c>
      <c r="AA24" t="str">
        <f t="shared" si="5"/>
        <v/>
      </c>
    </row>
    <row r="25" spans="1:27">
      <c r="V25" s="169" t="str">
        <f t="shared" si="1"/>
        <v/>
      </c>
      <c r="W25" t="str">
        <f t="shared" si="2"/>
        <v>N/A</v>
      </c>
      <c r="X25" t="str">
        <f t="shared" si="3"/>
        <v/>
      </c>
      <c r="Z25" t="str">
        <f t="shared" si="4"/>
        <v xml:space="preserve"> </v>
      </c>
      <c r="AA25" t="str">
        <f t="shared" si="5"/>
        <v/>
      </c>
    </row>
    <row r="26" spans="1:27">
      <c r="V26" s="169" t="str">
        <f t="shared" si="1"/>
        <v/>
      </c>
      <c r="W26" t="str">
        <f t="shared" si="2"/>
        <v>N/A</v>
      </c>
      <c r="X26" t="str">
        <f t="shared" si="3"/>
        <v/>
      </c>
      <c r="Z26" t="str">
        <f t="shared" si="4"/>
        <v xml:space="preserve"> </v>
      </c>
      <c r="AA26" t="str">
        <f t="shared" si="5"/>
        <v/>
      </c>
    </row>
    <row r="27" spans="1:27">
      <c r="V27" s="169" t="str">
        <f t="shared" si="1"/>
        <v/>
      </c>
      <c r="W27" t="str">
        <f t="shared" si="2"/>
        <v>N/A</v>
      </c>
      <c r="X27" t="str">
        <f t="shared" si="3"/>
        <v/>
      </c>
      <c r="Z27" t="str">
        <f t="shared" si="4"/>
        <v xml:space="preserve"> </v>
      </c>
      <c r="AA27" t="str">
        <f t="shared" si="5"/>
        <v/>
      </c>
    </row>
    <row r="28" spans="1:27">
      <c r="V28" s="169" t="str">
        <f t="shared" si="1"/>
        <v/>
      </c>
      <c r="W28" t="str">
        <f t="shared" si="2"/>
        <v>N/A</v>
      </c>
      <c r="X28" t="str">
        <f t="shared" si="3"/>
        <v/>
      </c>
      <c r="Z28" t="str">
        <f t="shared" si="4"/>
        <v xml:space="preserve"> </v>
      </c>
      <c r="AA28" t="str">
        <f t="shared" si="5"/>
        <v/>
      </c>
    </row>
    <row r="29" spans="1:27">
      <c r="V29" s="169" t="str">
        <f t="shared" si="1"/>
        <v/>
      </c>
      <c r="W29" t="str">
        <f t="shared" si="2"/>
        <v>N/A</v>
      </c>
      <c r="X29" t="str">
        <f t="shared" si="3"/>
        <v/>
      </c>
      <c r="Z29" t="str">
        <f t="shared" si="4"/>
        <v xml:space="preserve"> </v>
      </c>
      <c r="AA29" t="str">
        <f t="shared" si="5"/>
        <v/>
      </c>
    </row>
    <row r="30" spans="1:27">
      <c r="V30" s="169" t="str">
        <f t="shared" si="1"/>
        <v/>
      </c>
      <c r="W30" t="str">
        <f t="shared" si="2"/>
        <v>N/A</v>
      </c>
      <c r="X30" t="str">
        <f t="shared" si="3"/>
        <v/>
      </c>
      <c r="Z30" t="str">
        <f t="shared" si="4"/>
        <v xml:space="preserve"> </v>
      </c>
      <c r="AA30" t="str">
        <f t="shared" si="5"/>
        <v/>
      </c>
    </row>
    <row r="31" spans="1:27">
      <c r="V31" s="169" t="str">
        <f t="shared" si="1"/>
        <v/>
      </c>
      <c r="W31" t="str">
        <f t="shared" si="2"/>
        <v>N/A</v>
      </c>
      <c r="X31" t="str">
        <f t="shared" si="3"/>
        <v/>
      </c>
      <c r="Z31" t="str">
        <f t="shared" si="4"/>
        <v xml:space="preserve"> </v>
      </c>
      <c r="AA31" t="str">
        <f t="shared" si="5"/>
        <v/>
      </c>
    </row>
    <row r="32" spans="1:27">
      <c r="V32" s="169" t="str">
        <f t="shared" si="1"/>
        <v/>
      </c>
      <c r="W32" t="str">
        <f t="shared" si="2"/>
        <v>N/A</v>
      </c>
      <c r="X32" t="str">
        <f t="shared" si="3"/>
        <v/>
      </c>
      <c r="Z32" t="str">
        <f t="shared" si="4"/>
        <v xml:space="preserve"> </v>
      </c>
      <c r="AA32" t="str">
        <f t="shared" si="5"/>
        <v/>
      </c>
    </row>
    <row r="33" spans="22:27">
      <c r="V33" s="169" t="str">
        <f t="shared" si="1"/>
        <v/>
      </c>
      <c r="W33" t="str">
        <f t="shared" si="2"/>
        <v>N/A</v>
      </c>
      <c r="X33" t="str">
        <f t="shared" si="3"/>
        <v/>
      </c>
      <c r="Z33" t="str">
        <f t="shared" si="4"/>
        <v xml:space="preserve"> </v>
      </c>
      <c r="AA33" t="str">
        <f t="shared" si="5"/>
        <v/>
      </c>
    </row>
    <row r="34" spans="22:27">
      <c r="V34" s="169" t="str">
        <f t="shared" si="1"/>
        <v/>
      </c>
      <c r="W34" t="str">
        <f t="shared" si="2"/>
        <v>N/A</v>
      </c>
      <c r="X34" t="str">
        <f t="shared" si="3"/>
        <v/>
      </c>
      <c r="Z34" t="str">
        <f t="shared" si="4"/>
        <v xml:space="preserve"> </v>
      </c>
      <c r="AA34" t="str">
        <f t="shared" si="5"/>
        <v/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D22" sqref="D22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68</v>
      </c>
      <c r="B1" t="s">
        <v>100</v>
      </c>
      <c r="C1" t="s">
        <v>101</v>
      </c>
      <c r="D1" t="s">
        <v>102</v>
      </c>
      <c r="E1" t="s">
        <v>103</v>
      </c>
      <c r="I1" t="s">
        <v>104</v>
      </c>
      <c r="J1" t="s">
        <v>105</v>
      </c>
      <c r="L1" t="s">
        <v>106</v>
      </c>
      <c r="M1" t="s">
        <v>107</v>
      </c>
    </row>
    <row r="2" spans="1:13">
      <c r="H2" t="str">
        <f>RIGHT(A2,3)</f>
        <v/>
      </c>
      <c r="I2">
        <f>ROUNDUP(E2*1.03,0)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17" si="1">RIGHT(A3,3)</f>
        <v/>
      </c>
      <c r="I3">
        <f t="shared" ref="I3:I23" si="2">ROUNDUP(E3*1.03,0)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28"/>
      <c r="B12" s="129"/>
      <c r="C12" s="130"/>
      <c r="D12" s="130"/>
      <c r="E12" s="131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28"/>
      <c r="B13" s="129"/>
      <c r="C13" s="130"/>
      <c r="D13" s="130"/>
      <c r="E13" s="131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28"/>
      <c r="B14" s="129"/>
      <c r="C14" s="130"/>
      <c r="D14" s="130"/>
      <c r="E14" s="131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53"/>
      <c r="B15" s="152"/>
      <c r="C15" s="152"/>
      <c r="D15" s="152"/>
      <c r="E15" s="152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workbookViewId="0">
      <selection activeCell="P14" sqref="P14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N/A</v>
      </c>
    </row>
    <row r="3" spans="9:9">
      <c r="I3" t="str">
        <f>IF(ISNUMBER(SEARCH("CLMEL", A3)), "CLEAF", Deco!W3)</f>
        <v>N/A</v>
      </c>
    </row>
    <row r="4" spans="9:9">
      <c r="I4" t="str">
        <f>IF(ISNUMBER(SEARCH("CLMEL", A4)), "CLEAF", Deco!W4)</f>
        <v>N/A</v>
      </c>
    </row>
    <row r="5" spans="9:9">
      <c r="I5" t="str">
        <f>IF(ISNUMBER(SEARCH("CLMEL", A5)), "CLEAF", Deco!W5)</f>
        <v>N/A</v>
      </c>
    </row>
    <row r="6" spans="9:9">
      <c r="I6" t="str">
        <f>IF(ISNUMBER(SEARCH("CLMEL", A6)), "CLEAF", Deco!W6)</f>
        <v>N/A</v>
      </c>
    </row>
    <row r="7" spans="9:9">
      <c r="I7" t="str">
        <f>IF(ISNUMBER(SEARCH("CLMEL", A7)), "CLEAF", Deco!W7)</f>
        <v>N/A</v>
      </c>
    </row>
    <row r="8" spans="9:9">
      <c r="I8" t="str">
        <f>IF(ISNUMBER(SEARCH("CLMEL", A8)), "CLEAF", Deco!W8)</f>
        <v>N/A</v>
      </c>
    </row>
    <row r="9" spans="9:9">
      <c r="I9" t="str">
        <f>IF(ISNUMBER(SEARCH("CLMEL", A9)), "CLEAF", Deco!W9)</f>
        <v>N/A</v>
      </c>
    </row>
    <row r="10" spans="9:9">
      <c r="I10" t="str">
        <f>IF(ISNUMBER(SEARCH("CLMEL", A10)), "CLEAF", Deco!W10)</f>
        <v>N/A</v>
      </c>
    </row>
    <row r="11" spans="9:9">
      <c r="I11" t="str">
        <f>IF(ISNUMBER(SEARCH("CLMEL", A11)), "CLEAF", Deco!W11)</f>
        <v>N/A</v>
      </c>
    </row>
    <row r="12" spans="9:9">
      <c r="I12" t="str">
        <f>IF(ISNUMBER(SEARCH("CLMEL", A12)), "CLEAF", Deco!W12)</f>
        <v>N/A</v>
      </c>
    </row>
    <row r="13" spans="9:9">
      <c r="I13" t="str">
        <f>IF(ISNUMBER(SEARCH("CLMEL", A13)), "CLEAF", Deco!W13)</f>
        <v>N/A</v>
      </c>
    </row>
    <row r="14" spans="9:9">
      <c r="I14" t="str">
        <f>IF(ISNUMBER(SEARCH("CLMEL", A14)), "CLEAF", Deco!W14)</f>
        <v>N/A</v>
      </c>
    </row>
    <row r="15" spans="9:9">
      <c r="I15" t="str">
        <f>IF(ISNUMBER(SEARCH("CLMEL", A15)), "CLEAF", Deco!W15)</f>
        <v>N/A</v>
      </c>
    </row>
    <row r="16" spans="9:9">
      <c r="I16" t="str">
        <f>IF(ISNUMBER(SEARCH("CLMEL", A16)), "CLEAF", Deco!W16)</f>
        <v>N/A</v>
      </c>
    </row>
    <row r="17" spans="9:9">
      <c r="I17" t="str">
        <f>IF(ISNUMBER(SEARCH("CLMEL", A17)), "CLEAF", Deco!W17)</f>
        <v>N/A</v>
      </c>
    </row>
    <row r="18" spans="9:9">
      <c r="I18" t="str">
        <f>IF(ISNUMBER(SEARCH("CLMEL", A18)), "CLEAF", Deco!W18)</f>
        <v>N/A</v>
      </c>
    </row>
    <row r="19" spans="9:9">
      <c r="I19" t="str">
        <f>IF(ISNUMBER(SEARCH("CLMEL", A19)), "CLEAF", Deco!W19)</f>
        <v>N/A</v>
      </c>
    </row>
    <row r="20" spans="9:9">
      <c r="I20" t="str">
        <f>IF(ISNUMBER(SEARCH("CLMEL", A20)), "CLEAF", Deco!W20)</f>
        <v>N/A</v>
      </c>
    </row>
    <row r="21" spans="9:9">
      <c r="I21" t="str">
        <f>IF(ISNUMBER(SEARCH("CLMEL", A21)), "CLEAF", Deco!W21)</f>
        <v>N/A</v>
      </c>
    </row>
    <row r="22" spans="9:9">
      <c r="I22" t="str">
        <f>IF(ISNUMBER(SEARCH("CLMEL", A22)), "CLEAF", Deco!W22)</f>
        <v>N/A</v>
      </c>
    </row>
    <row r="23" spans="9:9">
      <c r="I23" t="str">
        <f>IF(ISNUMBER(SEARCH("CLMEL", A23)), "CLEAF", Deco!W23)</f>
        <v>N/A</v>
      </c>
    </row>
    <row r="24" spans="9:9">
      <c r="I24" t="str">
        <f>IF(ISNUMBER(SEARCH("CLMEL", A24)), "CLEAF", Deco!W24)</f>
        <v>N/A</v>
      </c>
    </row>
    <row r="25" spans="9:9">
      <c r="I25" t="str">
        <f>IF(ISNUMBER(SEARCH("CLMEL", A25)), "CLEAF", Deco!W25)</f>
        <v>N/A</v>
      </c>
    </row>
    <row r="26" spans="9:9">
      <c r="I26" t="str">
        <f>IF(ISNUMBER(SEARCH("CLMEL", A26)), "CLEAF", Deco!W26)</f>
        <v>N/A</v>
      </c>
    </row>
    <row r="27" spans="9:9">
      <c r="I27" t="str">
        <f>IF(ISNUMBER(SEARCH("CLMEL", A27)), "CLEAF", Deco!W27)</f>
        <v>N/A</v>
      </c>
    </row>
    <row r="28" spans="9:9">
      <c r="I28" t="str">
        <f>IF(ISNUMBER(SEARCH("CLMEL", A28)), "CLEAF", Deco!W28)</f>
        <v>N/A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40</v>
      </c>
      <c r="B1" t="s">
        <v>43</v>
      </c>
      <c r="C1" t="s">
        <v>57</v>
      </c>
      <c r="D1" t="s">
        <v>58</v>
      </c>
      <c r="E1" t="s">
        <v>47</v>
      </c>
      <c r="F1" t="s">
        <v>108</v>
      </c>
      <c r="G1" t="s">
        <v>113</v>
      </c>
    </row>
    <row r="2" spans="1:7">
      <c r="A2" t="s">
        <v>42</v>
      </c>
      <c r="B2" t="s">
        <v>56</v>
      </c>
      <c r="C2" t="s">
        <v>44</v>
      </c>
      <c r="D2" t="s">
        <v>59</v>
      </c>
      <c r="E2" t="s">
        <v>45</v>
      </c>
      <c r="F2" t="s">
        <v>111</v>
      </c>
      <c r="G2" t="s">
        <v>114</v>
      </c>
    </row>
    <row r="3" spans="1:7">
      <c r="A3" t="s">
        <v>38</v>
      </c>
      <c r="E3" t="s">
        <v>46</v>
      </c>
      <c r="F3" t="s">
        <v>112</v>
      </c>
      <c r="G3" t="s">
        <v>115</v>
      </c>
    </row>
    <row r="4" spans="1:7">
      <c r="A4" t="s">
        <v>41</v>
      </c>
    </row>
    <row r="5" spans="1:7">
      <c r="A5" t="s">
        <v>39</v>
      </c>
    </row>
    <row r="6" spans="1:7">
      <c r="A6" t="s">
        <v>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2025-11-10T13:17:49Z</cp:lastPrinted>
  <dcterms:created xsi:type="dcterms:W3CDTF">2018-08-21T07:33:50Z</dcterms:created>
  <dcterms:modified xsi:type="dcterms:W3CDTF">2026-07-08T06:37:19Z</dcterms:modified>
</cp:coreProperties>
</file>