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D2AA5CD3-3A2D-40AF-B11A-AB869DBF4ABD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8" i="6" l="1"/>
  <c r="O37" i="6"/>
  <c r="O36" i="6"/>
  <c r="O34" i="6"/>
  <c r="O33" i="6"/>
  <c r="O32" i="6"/>
  <c r="O28" i="6"/>
  <c r="O27" i="6"/>
  <c r="O26" i="6"/>
  <c r="O25" i="6"/>
  <c r="O24" i="6"/>
  <c r="O22" i="6"/>
  <c r="O21" i="6"/>
  <c r="O20" i="6"/>
  <c r="O18" i="6"/>
  <c r="O19" i="6"/>
  <c r="O17" i="6"/>
  <c r="O16" i="6"/>
  <c r="O15" i="6"/>
  <c r="O14" i="6"/>
  <c r="O13" i="6"/>
  <c r="O12" i="6"/>
  <c r="O11" i="6"/>
  <c r="S12" i="6"/>
  <c r="S11" i="6"/>
  <c r="Q11" i="6"/>
  <c r="B14" i="7"/>
  <c r="E14" i="7" s="1" a="1"/>
  <c r="E14" i="7" s="1"/>
  <c r="A15" i="7"/>
  <c r="A16" i="7"/>
  <c r="A17" i="7"/>
  <c r="A18" i="7"/>
  <c r="A14" i="7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M28" i="6"/>
  <c r="Q28" i="6"/>
  <c r="S28" i="6"/>
  <c r="I28" i="6"/>
  <c r="K28" i="6"/>
  <c r="I27" i="6"/>
  <c r="S25" i="6"/>
  <c r="K25" i="6"/>
  <c r="I25" i="6"/>
  <c r="Q25" i="6"/>
  <c r="K24" i="6"/>
  <c r="K27" i="6"/>
  <c r="Q27" i="6"/>
  <c r="S27" i="6"/>
  <c r="S26" i="6"/>
  <c r="I26" i="6"/>
  <c r="Q26" i="6"/>
  <c r="M26" i="6"/>
  <c r="M25" i="6"/>
  <c r="S24" i="6"/>
  <c r="Q24" i="6"/>
  <c r="M24" i="6"/>
  <c r="I24" i="6"/>
  <c r="I11" i="6"/>
  <c r="B30" i="7" l="1"/>
  <c r="B131" i="7"/>
  <c r="B124" i="7"/>
  <c r="B29" i="7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K20" i="6"/>
  <c r="Q20" i="6"/>
  <c r="I20" i="6"/>
  <c r="S20" i="6"/>
  <c r="Q19" i="6"/>
  <c r="K19" i="6"/>
  <c r="I19" i="6"/>
  <c r="S19" i="6"/>
  <c r="M19" i="6"/>
  <c r="K18" i="6"/>
  <c r="S18" i="6"/>
  <c r="Q18" i="6"/>
  <c r="I18" i="6"/>
  <c r="M18" i="6"/>
  <c r="Q17" i="6"/>
  <c r="M17" i="6"/>
  <c r="I17" i="6"/>
  <c r="K17" i="6"/>
  <c r="S17" i="6"/>
  <c r="I16" i="6"/>
  <c r="Q16" i="6"/>
  <c r="K16" i="6"/>
  <c r="M16" i="6"/>
  <c r="S16" i="6"/>
  <c r="M15" i="6"/>
  <c r="I15" i="6"/>
  <c r="S15" i="6"/>
  <c r="Q15" i="6"/>
  <c r="K15" i="6"/>
  <c r="Q14" i="6"/>
  <c r="I14" i="6"/>
  <c r="S14" i="6"/>
  <c r="K14" i="6"/>
  <c r="M14" i="6"/>
  <c r="Q13" i="6"/>
  <c r="K13" i="6"/>
  <c r="S13" i="6"/>
  <c r="I13" i="6"/>
  <c r="M13" i="6"/>
  <c r="K12" i="6"/>
  <c r="Q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B106" i="7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K32" i="6"/>
  <c r="B26" i="8" a="1"/>
  <c r="Q37" i="6"/>
  <c r="M34" i="6"/>
  <c r="B19" i="7"/>
  <c r="E19" i="7" s="1"/>
  <c r="C57" i="8"/>
  <c r="A180" i="7"/>
  <c r="D180" i="7" s="1"/>
  <c r="I34" i="6"/>
  <c r="C58" i="8"/>
  <c r="B20" i="7"/>
  <c r="E20" i="7" s="1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B163" i="7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B200" i="7" l="1"/>
  <c r="K11" i="6"/>
  <c r="B27" i="7" s="1"/>
  <c r="E26" i="8" a="1"/>
  <c r="E26" i="8" s="1"/>
  <c r="A27" i="7"/>
  <c r="D27" i="7" s="1"/>
  <c r="K41" i="6" l="1"/>
  <c r="B197" i="7" s="1"/>
  <c r="B170" i="7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<sst xmlns="http://schemas.openxmlformats.org/spreadsheetml/2006/main" count="203" uniqueCount="116">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</sst>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14" zoomScaleNormal="100" workbookViewId="0">
      <selection activeCell="N28" sqref="N28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3" t="s">
        <v>36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5"/>
      <c r="M1" s="38" t="s">
        <v>70</v>
      </c>
      <c r="N1" s="39" t="s">
        <v>64</v>
      </c>
      <c r="O1" s="194" t="s">
        <v>69</v>
      </c>
      <c r="P1" s="195"/>
      <c r="Q1" s="195"/>
      <c r="R1" s="195"/>
      <c r="S1" s="196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7"/>
      <c r="P2" s="198"/>
      <c r="Q2" s="198"/>
      <c r="R2" s="198"/>
      <c r="S2" s="199"/>
    </row>
    <row r="3" spans="1:19">
      <c r="A3" s="20" t="s">
        <v>49</v>
      </c>
      <c r="B3" s="209"/>
      <c r="C3" s="210"/>
      <c r="D3" s="211"/>
      <c r="H3" s="20" t="s">
        <v>59</v>
      </c>
      <c r="I3" s="216"/>
      <c r="J3" s="217"/>
      <c r="K3" s="218"/>
      <c r="M3" s="27">
        <v>2</v>
      </c>
      <c r="N3" s="73"/>
      <c r="O3" s="206"/>
      <c r="P3" s="207"/>
      <c r="Q3" s="207"/>
      <c r="R3" s="207"/>
      <c r="S3" s="208"/>
    </row>
    <row r="4" spans="1:19">
      <c r="A4" s="21" t="s">
        <v>47</v>
      </c>
      <c r="B4" s="188"/>
      <c r="C4" s="189"/>
      <c r="D4" s="190"/>
      <c r="H4" s="21" t="s">
        <v>60</v>
      </c>
      <c r="I4" s="191"/>
      <c r="J4" s="192"/>
      <c r="K4" s="193"/>
      <c r="M4" s="27">
        <v>3</v>
      </c>
      <c r="N4" s="73"/>
      <c r="O4" s="206"/>
      <c r="P4" s="207"/>
      <c r="Q4" s="207"/>
      <c r="R4" s="207"/>
      <c r="S4" s="208"/>
    </row>
    <row r="5" spans="1:19">
      <c r="A5" s="21" t="s">
        <v>48</v>
      </c>
      <c r="B5" s="212"/>
      <c r="C5" s="213"/>
      <c r="D5" s="214"/>
      <c r="H5" s="21" t="s">
        <v>61</v>
      </c>
      <c r="I5" s="215"/>
      <c r="J5" s="207"/>
      <c r="K5" s="208"/>
      <c r="M5" s="27">
        <v>4</v>
      </c>
      <c r="N5" s="73"/>
      <c r="O5" s="206"/>
      <c r="P5" s="207"/>
      <c r="Q5" s="207"/>
      <c r="R5" s="207"/>
      <c r="S5" s="208"/>
    </row>
    <row r="6" spans="1:19" ht="15.75" thickBot="1">
      <c r="A6" s="22" t="s">
        <v>7</v>
      </c>
      <c r="B6" s="223"/>
      <c r="C6" s="224"/>
      <c r="D6" s="225"/>
      <c r="H6" s="22" t="s">
        <v>62</v>
      </c>
      <c r="I6" s="226"/>
      <c r="J6" s="201"/>
      <c r="K6" s="202"/>
      <c r="M6" s="28">
        <v>5</v>
      </c>
      <c r="N6" s="74"/>
      <c r="O6" s="200"/>
      <c r="P6" s="201"/>
      <c r="Q6" s="201"/>
      <c r="R6" s="201"/>
      <c r="S6" s="202"/>
    </row>
    <row r="7" spans="1:19" s="50" customFormat="1" ht="2.1" hidden="1" customHeight="1" thickBot="1"/>
    <row r="8" spans="1:19" ht="15.75" customHeight="1" thickBot="1">
      <c r="A8" s="227" t="s">
        <v>1</v>
      </c>
      <c r="B8" s="228"/>
      <c r="C8" s="228"/>
      <c r="D8" s="229"/>
      <c r="F8" s="233" t="s">
        <v>73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9"/>
    </row>
    <row r="9" spans="1:19" ht="15.75" thickBot="1">
      <c r="A9" s="230"/>
      <c r="B9" s="231"/>
      <c r="C9" s="231"/>
      <c r="D9" s="232"/>
      <c r="F9" s="170" t="s">
        <v>28</v>
      </c>
      <c r="G9" s="171"/>
      <c r="H9" s="186" t="s">
        <v>29</v>
      </c>
      <c r="I9" s="187"/>
      <c r="J9" s="168" t="s">
        <v>16</v>
      </c>
      <c r="K9" s="169"/>
      <c r="L9" s="240" t="s">
        <v>19</v>
      </c>
      <c r="M9" s="241"/>
      <c r="N9" s="237" t="s">
        <v>80</v>
      </c>
      <c r="O9" s="238"/>
      <c r="P9" s="235" t="s">
        <v>68</v>
      </c>
      <c r="Q9" s="236"/>
      <c r="R9" s="237" t="s">
        <v>18</v>
      </c>
      <c r="S9" s="238"/>
    </row>
    <row r="10" spans="1:19" ht="15.75" thickBot="1">
      <c r="A10" s="175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176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+SUMIFS(Cant!$I$2:$I$99,Cant!$M$2:$M$99,F11,Cant!$J$2:$J$99,"43/0.8")+SUMIFS(Cant!$I$2:$I$99,Cant!$M$2:$M$99,F11,Cant!$J$2:$J$99,"42/1.0")&gt;0),SUMIFS(Cant!$I$2:$I$99,Cant!$M$2:$M$99,N11,Cant!$J$2:$J$99,"43/1.0")+SUMIFS(Cant!$I$2:$I$99,Cant!$M$2:$M$99,N11,Cant!$J$2:$J$99,"43/0.8")++SUMIFS(Cant!$I$2:$I$99,Cant!$M$2:$M$99,F11,Cant!$J$2:$J$99,"42/1.0"),""),"")</f>
        <v/>
      </c>
      <c r="P11" s="56" t="str">
        <f>CONCATENATE(F11)</f>
        <v/>
      </c>
      <c r="Q11" s="29" t="str">
        <f>IFERROR(IF(AND(P11&lt;&gt;"",SUMIFS(Cant!$I$2:$I$99,Cant!$M$2:$M$99,P11,Cant!$J$2:$J$99,"43/1.5")&gt;0),SUMIFS(Cant!$I$2:$I$99,Cant!$M$2:$M$99,P11,Cant!$J$2:$J$99,"43/1.5"),""),"")</f>
        <v/>
      </c>
      <c r="R11" s="56" t="str">
        <f>CONCATENATE(F11)</f>
        <v/>
      </c>
      <c r="S11" s="29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76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+SUMIFS(Cant!$I$2:$I$99,Cant!$M$2:$M$99,N12,Cant!$J$2:$J$99,"43/0.8")+SUMIFS(Cant!$I$2:$I$99,Cant!$M$2:$M$99,N12,Cant!$J$2:$J$99,"42/1.0")&gt;0),SUMIFS(Cant!$I$2:$I$99,Cant!$M$2:$M$99,N12,Cant!$J$2:$J$99,"43/1.0")+SUMIFS(Cant!$I$2:$I$99,Cant!$M$2:$M$99,N12,Cant!$J$2:$J$99,"43/0.8")+SUMIFS(Cant!$I$2:$I$99,Cant!$M$2:$M$99,N12,Cant!$J$2:$J$99,"42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76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+SUMIFS(Cant!$I$2:$I$99,Cant!$M$2:$M$99,N13,Cant!$J$2:$J$99,"43/0.8")+SUMIFS(Cant!$I$2:$I$99,Cant!$M$2:$M$99,N13,Cant!$J$2:$J$99,"42/1.0")&gt;0),SUMIFS(Cant!$I$2:$I$99,Cant!$M$2:$M$99,N13,Cant!$J$2:$J$99,"43/1.0")+SUMIFS(Cant!$I$2:$I$99,Cant!$M$2:$M$99,N13,Cant!$J$2:$J$99,"43/0.8")+SUMIFS(Cant!$I$2:$I$99,Cant!$M$2:$M$99,N13,Cant!$J$2:$J$99,"42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76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+SUMIFS(Cant!$I$2:$I$99,Cant!$M$2:$M$99,N14,Cant!$J$2:$J$99,"43/0.8")+SUMIFS(Cant!$I$2:$I$99,Cant!$M$2:$M$99,N14,Cant!$J$2:$J$99,"42/1.0")&gt;0),SUMIFS(Cant!$I$2:$I$99,Cant!$M$2:$M$99,N14,Cant!$J$2:$J$99,"43/1.0")+SUMIFS(Cant!$I$2:$I$99,Cant!$M$2:$M$99,N14,Cant!$J$2:$J$99,"43/0.8")+SUMIFS(Cant!$I$2:$I$99,Cant!$M$2:$M$99,N14,Cant!$J$2:$J$99,"42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76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+SUMIFS(Cant!$I$2:$I$99,Cant!$M$2:$M$99,N15,Cant!$J$2:$J$99,"43/0.8")+SUMIFS(Cant!$I$2:$I$99,Cant!$M$2:$M$99,N15,Cant!$J$2:$J$99,"42/1.0")&gt;0),SUMIFS(Cant!$I$2:$I$99,Cant!$M$2:$M$99,N15,Cant!$J$2:$J$99,"43/1.0")+SUMIFS(Cant!$I$2:$I$99,Cant!$M$2:$M$99,N15,Cant!$J$2:$J$99,"43/0.8")+SUMIFS(Cant!$I$2:$I$99,Cant!$M$2:$M$99,N15,Cant!$J$2:$J$99,"42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76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+SUMIFS(Cant!$I$2:$I$99,Cant!$M$2:$M$99,N16,Cant!$J$2:$J$99,"43/0.8")+SUMIFS(Cant!$I$2:$I$99,Cant!$M$2:$M$99,N16,Cant!$J$2:$J$99,"42/1.0")&gt;0),SUMIFS(Cant!$I$2:$I$99,Cant!$M$2:$M$99,N16,Cant!$J$2:$J$99,"43/1.0")+SUMIFS(Cant!$I$2:$I$99,Cant!$M$2:$M$99,N16,Cant!$J$2:$J$99,"43/0.8")+SUMIFS(Cant!$I$2:$I$99,Cant!$M$2:$M$99,N16,Cant!$J$2:$J$99,"42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76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+SUMIFS(Cant!$I$2:$I$99,Cant!$M$2:$M$99,N17,Cant!$J$2:$J$99,"43/0.8")+SUMIFS(Cant!$I$2:$I$99,Cant!$M$2:$M$99,N17,Cant!$J$2:$J$99,"42/1.0")&gt;0),SUMIFS(Cant!$I$2:$I$99,Cant!$M$2:$M$99,N17,Cant!$J$2:$J$99,"43/1.0")+SUMIFS(Cant!$I$2:$I$99,Cant!$M$2:$M$99,N17,Cant!$J$2:$J$99,"43/0.8")+SUMIFS(Cant!$I$2:$I$99,Cant!$M$2:$M$99,N17,Cant!$J$2:$J$99,"42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76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+SUMIFS(Cant!$I$2:$I$99,Cant!$M$2:$M$99,N18,Cant!$J$2:$J$99,"43/0.8")+SUMIFS(Cant!$I$2:$I$99,Cant!$M$2:$M$99,N18,Cant!$J$2:$J$99,"42/1.0")&gt;0),SUMIFS(Cant!$I$2:$I$99,Cant!$M$2:$M$99,N18,Cant!$J$2:$J$99,"43/1.0")+SUMIFS(Cant!$I$2:$I$99,Cant!$M$2:$M$99,N18,Cant!$J$2:$J$99,"43/0.8")+SUMIFS(Cant!$I$2:$I$99,Cant!$M$2:$M$99,N18,Cant!$J$2:$J$99,"42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76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+SUMIFS(Cant!$I$2:$I$99,Cant!$M$2:$M$99,N19,Cant!$J$2:$J$99,"43/0.8")+SUMIFS(Cant!$I$2:$I$99,Cant!$M$2:$M$99,N19,Cant!$J$2:$J$99,"42/1.0")&gt;0),SUMIFS(Cant!$I$2:$I$99,Cant!$M$2:$M$99,N19,Cant!$J$2:$J$99,"43/1.0")+SUMIFS(Cant!$I$2:$I$99,Cant!$M$2:$M$99,N19,Cant!$J$2:$J$99,"43/0.8")+SUMIFS(Cant!$I$2:$I$99,Cant!$M$2:$M$99,N19,Cant!$J$2:$J$99,"42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76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+SUMIFS(Cant!$I$2:$I$99,Cant!$M$2:$M$99,N20,Cant!$J$2:$J$99,"43/0.8")+SUMIFS(Cant!$I$2:$I$99,Cant!$M$2:$M$99,N20,Cant!$J$2:$J$99,"42/1.0")&gt;0),SUMIFS(Cant!$I$2:$I$99,Cant!$M$2:$M$99,N20,Cant!$J$2:$J$99,"43/1.0")+SUMIFS(Cant!$I$2:$I$99,Cant!$M$2:$M$99,N20,Cant!$J$2:$J$99,"43/0.8")+SUMIFS(Cant!$I$2:$I$99,Cant!$M$2:$M$99,N20,Cant!$J$2:$J$99,"42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76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+SUMIFS(Cant!$I$2:$I$99,Cant!$M$2:$M$99,N21,Cant!$J$2:$J$99,"43/0.8")+SUMIFS(Cant!$I$2:$I$99,Cant!$M$2:$M$99,N21,Cant!$J$2:$J$99,"42/1.0")&gt;0),SUMIFS(Cant!$I$2:$I$99,Cant!$M$2:$M$99,N21,Cant!$J$2:$J$99,"43/1.0")+SUMIFS(Cant!$I$2:$I$99,Cant!$M$2:$M$99,N21,Cant!$J$2:$J$99,"43/0.8")+SUMIFS(Cant!$I$2:$I$99,Cant!$M$2:$M$99,N21,Cant!$J$2:$J$99,"42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177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+SUMIFS(Cant!$I$2:$I$99,Cant!$M$2:$M$99,N22,Cant!$J$2:$J$99,"43/0.8")+SUMIFS(Cant!$I$2:$I$99,Cant!$M$2:$M$99,N22,Cant!$J$2:$J$99,"42/1.0")&gt;0),SUMIFS(Cant!$I$2:$I$99,Cant!$M$2:$M$99,N22,Cant!$J$2:$J$99,"43/1.0")+SUMIFS(Cant!$I$2:$I$99,Cant!$M$2:$M$99,N22,Cant!$J$2:$J$99,"43/0.8")+SUMIFS(Cant!$I$2:$I$99,Cant!$M$2:$M$99,N22,Cant!$J$2:$J$99,"42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75" t="s">
        <v>10</v>
      </c>
      <c r="B24" s="56"/>
      <c r="C24" s="58"/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+SUMIFS(Cant!$I$2:$I$99,Cant!$M$2:$M$99,N24,Cant!$J$2:$J$99,"43/0.8")+SUMIFS(Cant!$I$2:$I$99,Cant!$M$2:$M$99,N24,Cant!$J$2:$J$99,"42/1.0")&gt;0),SUMIFS(Cant!$I$2:$I$99,Cant!$M$2:$M$99,N24,Cant!$J$2:$J$99,"43/1.0")+SUMIFS(Cant!$I$2:$I$99,Cant!$M$2:$M$99,N24,Cant!$J$2:$J$99,"43/0.8")+SUMIFS(Cant!$I$2:$I$99,Cant!$M$2:$M$99,N24,Cant!$J$2:$J$99,"42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76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+SUMIFS(Cant!$I$2:$I$99,Cant!$M$2:$M$99,N25,Cant!$J$2:$J$99,"43/0.8")+SUMIFS(Cant!$I$2:$I$99,Cant!$M$2:$M$99,N25,Cant!$J$2:$J$99,"42/1.0")&gt;0),SUMIFS(Cant!$I$2:$I$99,Cant!$M$2:$M$99,N25,Cant!$J$2:$J$99,"43/1.0")+SUMIFS(Cant!$I$2:$I$99,Cant!$M$2:$M$99,N25,Cant!$J$2:$J$99,"43/0.8")+SUMIFS(Cant!$I$2:$I$99,Cant!$M$2:$M$99,N25,Cant!$J$2:$J$99,"42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76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+SUMIFS(Cant!$I$2:$I$99,Cant!$M$2:$M$99,N26,Cant!$J$2:$J$99,"43/0.8")+SUMIFS(Cant!$I$2:$I$99,Cant!$M$2:$M$99,N26,Cant!$J$2:$J$99,"42/1.0")&gt;0),SUMIFS(Cant!$I$2:$I$99,Cant!$M$2:$M$99,N26,Cant!$J$2:$J$99,"43/1.0")+SUMIFS(Cant!$I$2:$I$99,Cant!$M$2:$M$99,N26,Cant!$J$2:$J$99,"43/0.8")+SUMIFS(Cant!$I$2:$I$99,Cant!$M$2:$M$99,N26,Cant!$J$2:$J$99,"42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76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+SUMIFS(Cant!$I$2:$I$99,Cant!$M$2:$M$99,N27,Cant!$J$2:$J$99,"43/0.8")+SUMIFS(Cant!$I$2:$I$99,Cant!$M$2:$M$99,N27,Cant!$J$2:$J$99,"42/1.0")&gt;0),SUMIFS(Cant!$I$2:$I$99,Cant!$M$2:$M$99,N27,Cant!$J$2:$J$99,"43/1.0")+SUMIFS(Cant!$I$2:$I$99,Cant!$M$2:$M$99,N27,Cant!$J$2:$J$99,"43/0.8")+SUMIFS(Cant!$I$2:$I$99,Cant!$M$2:$M$99,N27,Cant!$J$2:$J$99,"42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78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+SUMIFS(Cant!$I$2:$I$99,Cant!$M$2:$M$99,N28,Cant!$J$2:$J$99,"43/0.8")+SUMIFS(Cant!$I$2:$I$99,Cant!$M$2:$M$99,N28,Cant!$J$2:$J$99,"42/1.0")&gt;0),SUMIFS(Cant!$I$2:$I$99,Cant!$M$2:$M$99,N28,Cant!$J$2:$J$99,"43/1.0")+SUMIFS(Cant!$I$2:$I$99,Cant!$M$2:$M$99,N28,Cant!$J$2:$J$99,"43/0.8")+SUMIFS(Cant!$I$2:$I$99,Cant!$M$2:$M$99,N28,Cant!$J$2:$J$99,"42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165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+SUMIFS(Cant!$I$2:$I$99,Cant!$M$2:$M$99,N32,Cant!$J$2:$J$99,"43/0.8")+SUMIFS(Cant!$I$2:$I$99,Cant!$M$2:$M$99,N32,Cant!$J$2:$J$99,"42/1.0")&gt;0),SUMIFS(Cant!$I$2:$I$100,Cant!$M$2:$M$100,N32,Cant!$J$2:$J$100,"43/1.0")+SUMIFS(Cant!$I$2:$I$99,Cant!$M$2:$M$99,N32,Cant!$J$2:$J$99,"43/0.8")+SUMIFS(Cant!$I$2:$I$99,Cant!$M$2:$M$99,N32,Cant!$J$2:$J$99,"42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66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+SUMIFS(Cant!$I$2:$I$99,Cant!$M$2:$M$99,N33,Cant!$J$2:$J$99,"43/0.8")+SUMIFS(Cant!$I$2:$I$99,Cant!$M$2:$M$99,N33,Cant!$J$2:$J$99,"42/1.0")&gt;0),SUMIFS(Cant!$I$2:$I$100,Cant!$M$2:$M$100,N33,Cant!$J$2:$J$100,"43/1.0")+SUMIFS(Cant!$I$2:$I$99,Cant!$M$2:$M$99,N33,Cant!$J$2:$J$99,"43/0.8")+SUMIFS(Cant!$I$2:$I$99,Cant!$M$2:$M$99,N33,Cant!$J$2:$J$99,"42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67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+SUMIFS(Cant!$I$2:$I$99,Cant!$M$2:$M$99,N34,Cant!$J$2:$J$99,"43/0.8")+SUMIFS(Cant!$I$2:$I$99,Cant!$M$2:$M$99,N34,Cant!$J$2:$J$99,"42/1.0")&gt;0),SUMIFS(Cant!$I$2:$I$100,Cant!$M$2:$M$100,N34,Cant!$J$2:$J$100,"43/1.0")+SUMIFS(Cant!$I$2:$I$99,Cant!$M$2:$M$99,N34,Cant!$J$2:$J$99,"43/0.8")+SUMIFS(Cant!$I$2:$I$99,Cant!$M$2:$M$99,N34,Cant!$J$2:$J$99,"42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165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+SUMIFS(Cant!$I$2:$I$99,Cant!$M$2:$M$99,N36,Cant!$J$2:$J$99,"43/0.8")+SUMIFS(Cant!$I$2:$I$99,Cant!$M$2:$M$99,N36,Cant!$J$2:$J$99,"42/1.0")&gt;0),SUMIFS(Cant!$I$2:$I$100,Cant!$M$2:$M$100,N36,Cant!$J$2:$J$100,"43/1.0")+SUMIFS(Cant!$I$2:$I$99,Cant!$M$2:$M$99,N36,Cant!$J$2:$J$99,"43/0.8")+SUMIFS(Cant!$I$2:$I$99,Cant!$M$2:$M$99,N36,Cant!$J$2:$J$99,"42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66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+SUMIFS(Cant!$I$2:$I$99,Cant!$M$2:$M$99,N37,Cant!$J$2:$J$99,"43/0.8")+SUMIFS(Cant!$I$2:$I$99,Cant!$M$2:$M$99,N37,Cant!$J$2:$J$99,"42/1.0")&gt;0),SUMIFS(Cant!$I$2:$I$100,Cant!$M$2:$M$100,N37,Cant!$J$2:$J$100,"43/1.0")+SUMIFS(Cant!$I$2:$I$99,Cant!$M$2:$M$99,N37,Cant!$J$2:$J$99,"43/0.8")+SUMIFS(Cant!$I$2:$I$99,Cant!$M$2:$M$99,N37,Cant!$J$2:$J$99,"42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67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+SUMIFS(Cant!$I$2:$I$99,Cant!$M$2:$M$99,N38,Cant!$J$2:$J$99,"43/0.8")+SUMIFS(Cant!$I$2:$I$99,Cant!$M$2:$M$99,N38,Cant!$J$2:$J$99,"42/1.0")&gt;0),SUMIFS(Cant!$I$2:$I$100,Cant!$M$2:$M$100,N38,Cant!$J$2:$J$100,"43/1.0")+SUMIFS(Cant!$I$2:$I$99,Cant!$M$2:$M$99,N38,Cant!$J$2:$J$99,"43/0.8")+SUMIFS(Cant!$I$2:$I$99,Cant!$M$2:$M$99,N38,Cant!$J$2:$J$99,"42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175" t="s">
        <v>50</v>
      </c>
      <c r="B40" s="32" t="s">
        <v>67</v>
      </c>
      <c r="C40" s="32" t="s">
        <v>71</v>
      </c>
      <c r="D40" s="18" t="s">
        <v>51</v>
      </c>
      <c r="F40" s="172" t="s">
        <v>72</v>
      </c>
      <c r="G40" s="173"/>
      <c r="H40" s="173"/>
      <c r="I40" s="173"/>
      <c r="J40" s="173"/>
      <c r="K40" s="173"/>
      <c r="L40" s="173"/>
      <c r="M40" s="173"/>
      <c r="N40" s="173"/>
      <c r="O40" s="173"/>
      <c r="P40" s="173"/>
      <c r="Q40" s="173"/>
      <c r="R40" s="173"/>
      <c r="S40" s="174"/>
    </row>
    <row r="41" spans="1:19" ht="15.75" thickBot="1">
      <c r="A41" s="176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176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79">
        <f>IF(COUNTIF(Deco!AA2:AA34,"Vezi EK")&gt;0,0,1)</f>
        <v>1</v>
      </c>
    </row>
    <row r="43" spans="1:19" ht="15.75" thickBot="1">
      <c r="A43" s="176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233" t="str">
        <f>IF(COUNTIF(Deco!AA2:AA34,"Vezi EK")&gt;0,"Atentie! Verifica EK dublaje","Nr. Piese Dublaje")</f>
        <v>Nr. Piese Dublaje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180"/>
    </row>
    <row r="44" spans="1:19">
      <c r="A44" s="176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176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76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176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79" t="s">
        <v>34</v>
      </c>
      <c r="G47" s="221" t="str">
        <f>IF(I6="PLAN M",SUM(C11:C28), "N/A")</f>
        <v>N/A</v>
      </c>
      <c r="J47" s="179" t="s">
        <v>86</v>
      </c>
      <c r="K47" s="219">
        <v>1</v>
      </c>
      <c r="N47" s="179" t="s">
        <v>108</v>
      </c>
      <c r="O47" s="182"/>
      <c r="P47" s="183"/>
      <c r="R47" s="179" t="s">
        <v>114</v>
      </c>
      <c r="S47" s="179"/>
    </row>
    <row r="48" spans="1:19" ht="15.75" thickBot="1">
      <c r="A48" s="178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81"/>
      <c r="G48" s="222"/>
      <c r="J48" s="181"/>
      <c r="K48" s="220"/>
      <c r="N48" s="180"/>
      <c r="O48" s="184"/>
      <c r="P48" s="185"/>
      <c r="R48" s="180"/>
      <c r="S48" s="181"/>
    </row>
    <row r="49" spans="1:19" ht="2.1" hidden="1" customHeight="1">
      <c r="A49" s="40"/>
      <c r="B49" s="41"/>
      <c r="C49" s="1"/>
      <c r="D49" s="2"/>
    </row>
    <row r="50" spans="1:19">
      <c r="A50" s="162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163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163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163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163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163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163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163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163"/>
      <c r="B58" s="140"/>
      <c r="S58" s="141"/>
    </row>
    <row r="59" spans="1:19">
      <c r="A59" s="163"/>
      <c r="B59" s="140"/>
      <c r="S59" s="141"/>
    </row>
    <row r="60" spans="1:19">
      <c r="A60" s="163"/>
      <c r="B60" s="140"/>
      <c r="S60" s="141"/>
    </row>
    <row r="61" spans="1:19">
      <c r="A61" s="163"/>
      <c r="B61" s="140"/>
      <c r="S61" s="141"/>
    </row>
    <row r="62" spans="1:19">
      <c r="A62" s="163"/>
      <c r="B62" s="140"/>
      <c r="S62" s="141"/>
    </row>
    <row r="63" spans="1:19">
      <c r="A63" s="163"/>
      <c r="B63" s="140"/>
      <c r="S63" s="141"/>
    </row>
    <row r="64" spans="1:19">
      <c r="A64" s="163"/>
      <c r="B64" s="140"/>
      <c r="S64" s="141"/>
    </row>
    <row r="65" spans="1:19">
      <c r="A65" s="163"/>
      <c r="B65" s="140"/>
      <c r="S65" s="141"/>
    </row>
    <row r="66" spans="1:19">
      <c r="A66" s="163"/>
      <c r="B66" s="140"/>
      <c r="S66" s="141"/>
    </row>
    <row r="67" spans="1:19">
      <c r="A67" s="163"/>
      <c r="B67" s="140"/>
      <c r="S67" s="141"/>
    </row>
    <row r="68" spans="1:19" ht="15.75" thickBot="1">
      <c r="A68" s="164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topLeftCell="A85" workbookViewId="0">
      <selection activeCell="J96" sqref="J96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>
        <f>Fisa!C24</f>
        <v>0</v>
      </c>
      <c r="C14" t="str">
        <f>_xlfn.CONCAT(Fisa!D24)</f>
        <v>mp</v>
      </c>
      <c r="D14" t="str">
        <f t="shared" si="0"/>
        <v xml:space="preserve"> mp</v>
      </c>
      <c r="E14" s="102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>0</v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B54" sqref="B54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>
        <f>Fisa!B24</f>
        <v>0</v>
      </c>
      <c r="C20" s="8">
        <f>Fisa!C24</f>
        <v>0</v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>
        <f>Fisa!B24</f>
        <v>0</v>
      </c>
      <c r="C50" s="10">
        <f>Fisa!C24</f>
        <v>0</v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I21" sqref="I21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0" sqref="A20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2026-09-15T11:21:05Z</dcterms:modified>
</cp:coreProperties>
</file>