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9919665A-135A-40C7-AE15-4A793A60FADC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8" i="6" l="1"/>
  <c r="C47" i="6"/>
  <c r="C45" i="6"/>
  <c r="C44" i="6"/>
  <c r="C43" i="6"/>
  <c r="C42" i="6"/>
  <c r="C41" i="6"/>
  <c r="C28" i="6" a="1"/>
  <c r="C28" i="6" s="1"/>
  <c r="C27" i="6" a="1"/>
  <c r="C27" i="6"/>
  <c r="C26" i="6" a="1"/>
  <c r="C26" i="6" s="1"/>
  <c r="C25" i="6" a="1"/>
  <c r="C25" i="6"/>
  <c r="C24" i="6" a="1"/>
  <c r="C24" i="6" s="1"/>
  <c r="C22" i="6" a="1"/>
  <c r="C22" i="6"/>
  <c r="C21" i="6" a="1"/>
  <c r="C21" i="6" s="1"/>
  <c r="C20" i="6" a="1"/>
  <c r="C20" i="6"/>
  <c r="C19" i="6" a="1"/>
  <c r="C19" i="6" s="1"/>
  <c r="C18" i="6" a="1"/>
  <c r="C18" i="6"/>
  <c r="C17" i="6" a="1"/>
  <c r="C17" i="6" s="1"/>
  <c r="C16" i="6" a="1"/>
  <c r="C16" i="6"/>
  <c r="C15" i="6" a="1"/>
  <c r="C15" i="6" s="1"/>
  <c r="C14" i="6" a="1"/>
  <c r="C14" i="6"/>
  <c r="C13" i="6" a="1"/>
  <c r="C13" i="6" s="1"/>
  <c r="C12" i="6" a="1"/>
  <c r="C12" i="6" s="1"/>
  <c r="C11" i="6" a="1"/>
  <c r="C11" i="6" s="1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V2" i="9"/>
  <c r="S45" i="6"/>
  <c r="Q45" i="6"/>
  <c r="O45" i="6"/>
  <c r="M45" i="6"/>
  <c r="K45" i="6"/>
  <c r="I45" i="6"/>
  <c r="G45" i="6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W3" i="9"/>
  <c r="Z3" i="9" s="1"/>
  <c r="W4" i="9"/>
  <c r="W5" i="9"/>
  <c r="W6" i="9"/>
  <c r="W7" i="9"/>
  <c r="W8" i="9"/>
  <c r="W9" i="9"/>
  <c r="W10" i="9"/>
  <c r="Z10" i="9" s="1"/>
  <c r="W11" i="9"/>
  <c r="W12" i="9"/>
  <c r="W13" i="9"/>
  <c r="Z13" i="9" s="1"/>
  <c r="W14" i="9"/>
  <c r="Z14" i="9" s="1"/>
  <c r="W15" i="9"/>
  <c r="W16" i="9"/>
  <c r="W17" i="9"/>
  <c r="W18" i="9"/>
  <c r="W19" i="9"/>
  <c r="W20" i="9"/>
  <c r="W21" i="9"/>
  <c r="W22" i="9"/>
  <c r="Z22" i="9" s="1"/>
  <c r="W23" i="9"/>
  <c r="W24" i="9"/>
  <c r="W25" i="9"/>
  <c r="Z25" i="9" s="1"/>
  <c r="W26" i="9"/>
  <c r="Z26" i="9" s="1"/>
  <c r="W27" i="9"/>
  <c r="W28" i="9"/>
  <c r="W29" i="9"/>
  <c r="W30" i="9"/>
  <c r="W31" i="9"/>
  <c r="W32" i="9"/>
  <c r="W33" i="9"/>
  <c r="W34" i="9"/>
  <c r="Z34" i="9" s="1"/>
  <c r="W2" i="9"/>
  <c r="Z15" i="9"/>
  <c r="Z16" i="9"/>
  <c r="Z17" i="9"/>
  <c r="Z18" i="9"/>
  <c r="Z19" i="9"/>
  <c r="Z20" i="9"/>
  <c r="Z21" i="9"/>
  <c r="Z27" i="9"/>
  <c r="Z28" i="9"/>
  <c r="Z29" i="9"/>
  <c r="Z30" i="9"/>
  <c r="Z31" i="9"/>
  <c r="Z32" i="9"/>
  <c r="Z33" i="9"/>
  <c r="Z4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Z24" i="9" l="1"/>
  <c r="Z12" i="9"/>
  <c r="Z23" i="9"/>
  <c r="Z11" i="9"/>
  <c r="Z2" i="9"/>
  <c r="Z9" i="9"/>
  <c r="Z8" i="9"/>
  <c r="Z7" i="9"/>
  <c r="R45" i="6" a="1"/>
  <c r="R45" i="6" s="1"/>
  <c r="Z6" i="9"/>
  <c r="J45" i="6" a="1"/>
  <c r="J45" i="6" s="1"/>
  <c r="Z5" i="9"/>
  <c r="H45" i="6" a="1"/>
  <c r="H45" i="6" s="1"/>
  <c r="F45" i="6"/>
  <c r="N45" i="6" a="1"/>
  <c r="N45" i="6" s="1"/>
  <c r="P45" i="6" a="1"/>
  <c r="P45" i="6" s="1"/>
  <c r="L45" i="6" a="1"/>
  <c r="L45" i="6" s="1"/>
  <c r="F23" i="6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I26" i="19" l="1"/>
  <c r="I25" i="1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S42" i="6" l="1"/>
  <c r="F43" i="6"/>
  <c r="Y23" i="9"/>
  <c r="Y15" i="9"/>
  <c r="Y22" i="9"/>
  <c r="I20" i="19"/>
  <c r="I19" i="19"/>
  <c r="Y16" i="9"/>
  <c r="Y17" i="9"/>
  <c r="Y21" i="9"/>
  <c r="I17" i="19"/>
  <c r="Y11" i="9"/>
  <c r="Y18" i="9"/>
  <c r="I15" i="19"/>
  <c r="Y13" i="9"/>
  <c r="Y12" i="9"/>
  <c r="Y14" i="9"/>
  <c r="Y6" i="9"/>
  <c r="B11" i="6" s="1"/>
  <c r="Y5" i="9"/>
  <c r="I23" i="6"/>
  <c r="Y4" i="9"/>
  <c r="Y7" i="9"/>
  <c r="Y8" i="9"/>
  <c r="B15" i="6" s="1" a="1"/>
  <c r="B15" i="6" s="1"/>
  <c r="D15" i="6" s="1" a="1"/>
  <c r="D15" i="6" s="1"/>
  <c r="Y9" i="9"/>
  <c r="B24" i="6" s="1"/>
  <c r="Y10" i="9"/>
  <c r="B32" i="6" s="1" a="1"/>
  <c r="B32" i="6" s="1"/>
  <c r="Y3" i="9"/>
  <c r="Y2" i="9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B14" i="6" l="1" a="1"/>
  <c r="B14" i="6" s="1"/>
  <c r="D14" i="6" s="1" a="1"/>
  <c r="D14" i="6" s="1"/>
  <c r="B12" i="6" a="1"/>
  <c r="B12" i="6" s="1"/>
  <c r="F26" i="6"/>
  <c r="D26" i="6" a="1"/>
  <c r="D26" i="6" s="1"/>
  <c r="F19" i="6"/>
  <c r="D19" i="6" a="1"/>
  <c r="D19" i="6" s="1"/>
  <c r="F18" i="6"/>
  <c r="D18" i="6" a="1"/>
  <c r="D18" i="6" s="1"/>
  <c r="F21" i="6"/>
  <c r="D21" i="6" a="1"/>
  <c r="D21" i="6" s="1"/>
  <c r="F28" i="6"/>
  <c r="D28" i="6" a="1"/>
  <c r="D28" i="6" s="1"/>
  <c r="F24" i="6"/>
  <c r="D24" i="6" a="1"/>
  <c r="D24" i="6" s="1"/>
  <c r="F17" i="6"/>
  <c r="D17" i="6" a="1"/>
  <c r="D17" i="6" s="1"/>
  <c r="F20" i="6"/>
  <c r="D20" i="6" a="1"/>
  <c r="D20" i="6" s="1"/>
  <c r="F27" i="6"/>
  <c r="D27" i="6" a="1"/>
  <c r="D27" i="6" s="1"/>
  <c r="F22" i="6"/>
  <c r="D22" i="6" a="1"/>
  <c r="D22" i="6" s="1"/>
  <c r="B25" i="6"/>
  <c r="B36" i="6" a="1"/>
  <c r="B36" i="6" s="1"/>
  <c r="F36" i="6" s="1"/>
  <c r="D11" i="6" a="1"/>
  <c r="D11" i="6" s="1"/>
  <c r="B33" i="6" a="1"/>
  <c r="B33" i="6" s="1"/>
  <c r="C33" i="6" s="1"/>
  <c r="F15" i="6"/>
  <c r="B16" i="6" a="1"/>
  <c r="B16" i="6" s="1"/>
  <c r="B13" i="6" a="1"/>
  <c r="B13" i="6" s="1"/>
  <c r="F38" i="6"/>
  <c r="C38" i="6"/>
  <c r="F32" i="6"/>
  <c r="C32" i="6"/>
  <c r="C34" i="6"/>
  <c r="F34" i="6"/>
  <c r="F37" i="6"/>
  <c r="C37" i="6"/>
  <c r="B30" i="6" a="1"/>
  <c r="B30" i="6" s="1"/>
  <c r="C46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F14" i="6" l="1"/>
  <c r="L20" i="6"/>
  <c r="L19" i="6"/>
  <c r="F13" i="6"/>
  <c r="D13" i="6" a="1"/>
  <c r="D13" i="6" s="1"/>
  <c r="F25" i="6"/>
  <c r="D25" i="6" a="1"/>
  <c r="D25" i="6" s="1"/>
  <c r="F16" i="6"/>
  <c r="D16" i="6" a="1"/>
  <c r="D16" i="6" s="1"/>
  <c r="F12" i="6"/>
  <c r="D12" i="6" a="1"/>
  <c r="D12" i="6" s="1"/>
  <c r="F11" i="6"/>
  <c r="C36" i="6"/>
  <c r="F33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S23" i="6" l="1"/>
  <c r="G28" i="6"/>
  <c r="G47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D88" i="7"/>
  <c r="R20" i="6"/>
  <c r="S20" i="6" s="1"/>
  <c r="P19" i="6"/>
  <c r="Q19" i="6" s="1"/>
  <c r="J19" i="6"/>
  <c r="K19" i="6" s="1"/>
  <c r="D81" i="7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D74" i="7"/>
  <c r="P17" i="6"/>
  <c r="Q17" i="6" s="1"/>
  <c r="L17" i="6"/>
  <c r="M17" i="6" s="1"/>
  <c r="H17" i="6"/>
  <c r="I17" i="6" s="1"/>
  <c r="N17" i="6"/>
  <c r="O17" i="6" s="1"/>
  <c r="J17" i="6"/>
  <c r="K17" i="6" s="1"/>
  <c r="D67" i="7"/>
  <c r="R17" i="6"/>
  <c r="S17" i="6" s="1"/>
  <c r="H16" i="6"/>
  <c r="I16" i="6" s="1"/>
  <c r="N16" i="6"/>
  <c r="O16" i="6" s="1"/>
  <c r="P16" i="6"/>
  <c r="Q16" i="6" s="1"/>
  <c r="D60" i="7"/>
  <c r="J16" i="6"/>
  <c r="K16" i="6" s="1"/>
  <c r="L16" i="6"/>
  <c r="M16" i="6" s="1"/>
  <c r="R16" i="6"/>
  <c r="S16" i="6" s="1"/>
  <c r="D53" i="7"/>
  <c r="L15" i="6"/>
  <c r="M15" i="6" s="1"/>
  <c r="N15" i="6"/>
  <c r="O15" i="6" s="1"/>
  <c r="H15" i="6"/>
  <c r="I15" i="6" s="1"/>
  <c r="R15" i="6"/>
  <c r="S15" i="6" s="1"/>
  <c r="P15" i="6"/>
  <c r="Q15" i="6" s="1"/>
  <c r="J15" i="6"/>
  <c r="K15" i="6" s="1"/>
  <c r="P14" i="6"/>
  <c r="Q14" i="6" s="1"/>
  <c r="D46" i="7"/>
  <c r="N14" i="6"/>
  <c r="O14" i="6" s="1"/>
  <c r="H14" i="6"/>
  <c r="I14" i="6" s="1"/>
  <c r="R14" i="6"/>
  <c r="S14" i="6" s="1"/>
  <c r="J14" i="6"/>
  <c r="K14" i="6" s="1"/>
  <c r="L14" i="6"/>
  <c r="M14" i="6" s="1"/>
  <c r="P13" i="6"/>
  <c r="Q13" i="6" s="1"/>
  <c r="J13" i="6"/>
  <c r="K13" i="6" s="1"/>
  <c r="D39" i="7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D32" i="7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<sst xmlns="http://schemas.openxmlformats.org/spreadsheetml/2006/main" count="205" uniqueCount="118">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</sst>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7" xfId="0" applyBorder="1"/>
    <xf numFmtId="0" fontId="0" fillId="0" borderId="3" xfId="0" applyBorder="1"/>
    <xf numFmtId="0" fontId="2" fillId="0" borderId="48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7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0" fillId="0" borderId="51" xfId="0" applyBorder="1"/>
    <xf numFmtId="0" fontId="0" fillId="0" borderId="50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2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44" xfId="0" applyFont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4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0" xfId="0" applyFont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21" xfId="0" applyFont="1" applyBorder="1" applyAlignment="1">
      <alignment vertical="top"/>
    </xf>
    <xf numFmtId="0" fontId="2" fillId="0" borderId="22" xfId="0" applyFont="1" applyBorder="1" applyAlignment="1">
      <alignment vertical="top"/>
    </xf>
    <xf numFmtId="0" fontId="2" fillId="0" borderId="23" xfId="0" applyFont="1" applyBorder="1" applyAlignment="1">
      <alignment vertical="top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57"/>
  <sheetViews>
    <sheetView tabSelected="1" zoomScaleNormal="100" workbookViewId="0">
      <selection activeCell="L19" sqref="L19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10" t="s">
        <v>37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2"/>
      <c r="M1" s="38" t="s">
        <v>71</v>
      </c>
      <c r="N1" s="39" t="s">
        <v>65</v>
      </c>
      <c r="O1" s="199" t="s">
        <v>70</v>
      </c>
      <c r="P1" s="200"/>
      <c r="Q1" s="200"/>
      <c r="R1" s="200"/>
      <c r="S1" s="201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02"/>
      <c r="P2" s="203"/>
      <c r="Q2" s="203"/>
      <c r="R2" s="203"/>
      <c r="S2" s="204"/>
    </row>
    <row r="3" spans="1:19">
      <c r="A3" s="20" t="s">
        <v>50</v>
      </c>
      <c r="B3" s="220"/>
      <c r="C3" s="221"/>
      <c r="D3" s="222"/>
      <c r="H3" s="20" t="s">
        <v>60</v>
      </c>
      <c r="I3" s="224"/>
      <c r="J3" s="225"/>
      <c r="K3" s="226"/>
      <c r="M3" s="27">
        <v>2</v>
      </c>
      <c r="N3" s="76"/>
      <c r="O3" s="213"/>
      <c r="P3" s="195"/>
      <c r="Q3" s="195"/>
      <c r="R3" s="195"/>
      <c r="S3" s="196"/>
    </row>
    <row r="4" spans="1:19">
      <c r="A4" s="21" t="s">
        <v>48</v>
      </c>
      <c r="B4" s="247"/>
      <c r="C4" s="248"/>
      <c r="D4" s="249"/>
      <c r="H4" s="21" t="s">
        <v>61</v>
      </c>
      <c r="I4" s="250"/>
      <c r="J4" s="251"/>
      <c r="K4" s="252"/>
      <c r="M4" s="27">
        <v>3</v>
      </c>
      <c r="N4" s="76"/>
      <c r="O4" s="213"/>
      <c r="P4" s="195"/>
      <c r="Q4" s="195"/>
      <c r="R4" s="195"/>
      <c r="S4" s="196"/>
    </row>
    <row r="5" spans="1:19">
      <c r="A5" s="21" t="s">
        <v>49</v>
      </c>
      <c r="B5" s="183"/>
      <c r="C5" s="184"/>
      <c r="D5" s="185"/>
      <c r="H5" s="21" t="s">
        <v>62</v>
      </c>
      <c r="I5" s="194"/>
      <c r="J5" s="195"/>
      <c r="K5" s="196"/>
      <c r="M5" s="27">
        <v>4</v>
      </c>
      <c r="N5" s="76"/>
      <c r="O5" s="213"/>
      <c r="P5" s="195"/>
      <c r="Q5" s="195"/>
      <c r="R5" s="195"/>
      <c r="S5" s="196"/>
    </row>
    <row r="6" spans="1:19" ht="15.75" thickBot="1">
      <c r="A6" s="22" t="s">
        <v>7</v>
      </c>
      <c r="B6" s="188"/>
      <c r="C6" s="189"/>
      <c r="D6" s="190"/>
      <c r="H6" s="22" t="s">
        <v>63</v>
      </c>
      <c r="I6" s="191"/>
      <c r="J6" s="192"/>
      <c r="K6" s="193"/>
      <c r="M6" s="28">
        <v>5</v>
      </c>
      <c r="N6" s="77"/>
      <c r="O6" s="205"/>
      <c r="P6" s="192"/>
      <c r="Q6" s="192"/>
      <c r="R6" s="192"/>
      <c r="S6" s="193"/>
    </row>
    <row r="7" spans="1:19" s="51" customFormat="1" ht="2.1" hidden="1" customHeight="1" thickBot="1"/>
    <row r="8" spans="1:19" ht="15.75" customHeight="1" thickBot="1">
      <c r="A8" s="228" t="s">
        <v>1</v>
      </c>
      <c r="B8" s="229"/>
      <c r="C8" s="229"/>
      <c r="D8" s="230"/>
      <c r="F8" s="197" t="s">
        <v>74</v>
      </c>
      <c r="G8" s="198"/>
      <c r="H8" s="198"/>
      <c r="I8" s="198"/>
      <c r="J8" s="198"/>
      <c r="K8" s="198"/>
      <c r="L8" s="198"/>
      <c r="M8" s="198"/>
      <c r="N8" s="198"/>
      <c r="O8" s="198"/>
      <c r="P8" s="198"/>
      <c r="Q8" s="198"/>
      <c r="R8" s="198"/>
      <c r="S8" s="206"/>
    </row>
    <row r="9" spans="1:19" ht="15.75" thickBot="1">
      <c r="A9" s="231"/>
      <c r="B9" s="232"/>
      <c r="C9" s="232"/>
      <c r="D9" s="233"/>
      <c r="F9" s="243" t="s">
        <v>28</v>
      </c>
      <c r="G9" s="244"/>
      <c r="H9" s="186" t="s">
        <v>29</v>
      </c>
      <c r="I9" s="187"/>
      <c r="J9" s="241" t="s">
        <v>16</v>
      </c>
      <c r="K9" s="242"/>
      <c r="L9" s="181" t="s">
        <v>19</v>
      </c>
      <c r="M9" s="182"/>
      <c r="N9" s="218" t="s">
        <v>82</v>
      </c>
      <c r="O9" s="219"/>
      <c r="P9" s="236" t="s">
        <v>69</v>
      </c>
      <c r="Q9" s="237"/>
      <c r="R9" s="218" t="s">
        <v>18</v>
      </c>
      <c r="S9" s="219"/>
    </row>
    <row r="10" spans="1:19" ht="15.75" thickBot="1">
      <c r="A10" s="214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215"/>
      <c r="B11" s="57" t="str">
        <f>IFERROR(INDEX(Deco!$Y$2:$Y$99,_xlfn.AGGREGATE(15,6,ROW(Deco!$Y$2:$Y$99)-ROW(Deco!$Y$2)+1/(Deco!$W$2:$W$99="PAL"),1)),"")</f>
        <v/>
      </c>
      <c r="C11" s="61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15"/>
      <c r="B12" s="133" t="str" cm="1">
        <f t="array" ref="B12">IFERROR(_xlfn.SINGLE(INDEX(Deco!$Y$2:$Y$99,_xlfn.AGGREGATE(15,6,ROW(Deco!$Y$2:$Y$99)-ROW(Deco!$Y$2)+1/(Deco!$W$2:$W$99="PAL"),2))),"")</f>
        <v/>
      </c>
      <c r="C12" s="134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15"/>
      <c r="B13" s="133" t="str" cm="1">
        <f t="array" ref="B13">IFERROR(_xlfn.SINGLE(INDEX(Deco!$Y$2:$Y$99,_xlfn.AGGREGATE(15,6,ROW(Deco!$Y$2:$Y$99)-ROW(Deco!$Y$2)+1/(Deco!$W$2:$W$99="PAL"),3))),"")</f>
        <v/>
      </c>
      <c r="C13" s="134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15"/>
      <c r="B14" s="133" t="str" cm="1">
        <f t="array" ref="B14">IFERROR(_xlfn.SINGLE(INDEX(Deco!$Y$2:$Y$99,_xlfn.AGGREGATE(15,6,ROW(Deco!$Y$2:$Y$99)-ROW(Deco!$Y$2)+1/(Deco!$W$2:$W$99="PAL"),4))),"")</f>
        <v/>
      </c>
      <c r="C14" s="134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15"/>
      <c r="B15" s="133" t="str" cm="1">
        <f t="array" ref="B15">IFERROR(_xlfn.SINGLE(INDEX(Deco!$Y$2:$Y$99,_xlfn.AGGREGATE(15,6,ROW(Deco!$Y$2:$Y$99)-ROW(Deco!$Y$2)+1/(Deco!$W$2:$W$99="PAL"),5))),"")</f>
        <v/>
      </c>
      <c r="C15" s="139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15"/>
      <c r="B16" s="133" t="str" cm="1">
        <f t="array" ref="B16">IFERROR(_xlfn.SINGLE(INDEX(Deco!$Y$2:$Y$99,_xlfn.AGGREGATE(15,6,ROW(Deco!$Y$2:$Y$99)-ROW(Deco!$Y$2)+1/(Deco!$W$2:$W$99="PAL"),6))),"")</f>
        <v/>
      </c>
      <c r="C16" s="134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15"/>
      <c r="B17" s="133" t="str" cm="1">
        <f t="array" ref="B17">IFERROR(_xlfn.SINGLE(INDEX(Deco!$Y$2:$Y$99,_xlfn.AGGREGATE(15,6,ROW(Deco!$Y$2:$Y$99)-ROW(Deco!$Y$2)+1/(Deco!$W$2:$W$99="PAL"),7))),"")</f>
        <v/>
      </c>
      <c r="C17" s="134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15"/>
      <c r="B18" s="133" t="str" cm="1">
        <f t="array" ref="B18">IFERROR(_xlfn.SINGLE(INDEX(Deco!$Y$2:$Y$99,_xlfn.AGGREGATE(15,6,ROW(Deco!$Y$2:$Y$99)-ROW(Deco!$Y$2)+1/(Deco!$W$2:$W$99="PAL"),8))),"")</f>
        <v/>
      </c>
      <c r="C18" s="134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15"/>
      <c r="B19" s="133" t="str" cm="1">
        <f t="array" ref="B19">IFERROR(_xlfn.SINGLE(INDEX(Deco!$Y$2:$Y$99,_xlfn.AGGREGATE(15,6,ROW(Deco!$Y$2:$Y$99)-ROW(Deco!$Y$2)+1/(Deco!$W$2:$W$99="PAL"),9))),"")</f>
        <v/>
      </c>
      <c r="C19" s="134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15"/>
      <c r="B20" s="133" t="str" cm="1">
        <f t="array" ref="B20">IFERROR(_xlfn.SINGLE(INDEX(Deco!$Y$2:$Y$99,_xlfn.AGGREGATE(15,6,ROW(Deco!$Y$2:$Y$99)-ROW(Deco!$Y$2)+1/(Deco!$W$2:$W$99="PAL"),10))),"")</f>
        <v/>
      </c>
      <c r="C20" s="134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15"/>
      <c r="B21" s="133" t="str" cm="1">
        <f t="array" ref="B21">IFERROR(_xlfn.SINGLE(INDEX(Deco!$Y$2:$Y$99,_xlfn.AGGREGATE(15,6,ROW(Deco!$Y$2:$Y$99)-ROW(Deco!$Y$2)+1/(Deco!$W$2:$W$99="PAL"),11))),"")</f>
        <v/>
      </c>
      <c r="C21" s="134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16"/>
      <c r="B22" s="133" t="str" cm="1">
        <f t="array" ref="B22">IFERROR(_xlfn.SINGLE(INDEX(Deco!$Y$2:$Y$99,_xlfn.AGGREGATE(15,6,ROW(Deco!$Y$2:$Y$99)-ROW(Deco!$Y$2)+1/(Deco!$W$2:$W$99="PAL"),12))),"")</f>
        <v/>
      </c>
      <c r="C22" s="139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14" t="s">
        <v>10</v>
      </c>
      <c r="B24" s="57" t="str">
        <f>IFERROR(INDEX(Deco!$Y$2:$Y$99,_xlfn.AGGREGATE(15,6,ROW(Deco!$Y$2:$Y$99)-ROW(Deco!$Y$2)+1/(Deco!$W$2:$W$99="MDF"),1)),"")</f>
        <v/>
      </c>
      <c r="C24" s="61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15"/>
      <c r="B25" s="70" t="str">
        <f>IFERROR(INDEX(Deco!$Y$2:$Y$99,_xlfn.AGGREGATE(15,6,ROW(Deco!$Y$2:$Y$99)-ROW(Deco!$Y$2)+1/(Deco!$W$2:$W$99="MDF"),2)),"")</f>
        <v/>
      </c>
      <c r="C25" s="134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15"/>
      <c r="B26" s="70" t="str" cm="1">
        <f t="array" ref="B26">IFERROR(_xlfn.SINGLE(INDEX(Deco!$Y$2:$Y$99,_xlfn.AGGREGATE(15,6,ROW(Deco!$Y$2:$Y$99)-ROW(Deco!$Y$2)+1/(Deco!$W$2:$W$99="MDF"),3))),"")</f>
        <v/>
      </c>
      <c r="C26" s="134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15"/>
      <c r="B27" s="70" t="str" cm="1">
        <f t="array" ref="B27">IFERROR(_xlfn.SINGLE(INDEX(Deco!$Y$2:$Y$99,_xlfn.AGGREGATE(15,6,ROW(Deco!$Y$2:$Y$99)-ROW(Deco!$Y$2)+1/(Deco!$W$2:$W$99="MDF"),4))),"")</f>
        <v/>
      </c>
      <c r="C27" s="134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17"/>
      <c r="B28" s="70" t="str" cm="1">
        <f t="array" ref="B28">IFERROR(_xlfn.SINGLE(INDEX(Deco!$Y$2:$Y$99,_xlfn.AGGREGATE(15,6,ROW(Deco!$Y$2:$Y$99)-ROW(Deco!$Y$2)+1/(Deco!$W$2:$W$99="MDF"),5))),"")</f>
        <v/>
      </c>
      <c r="C28" s="139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38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39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40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38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IF(B36&lt;&gt;"",TRIM(LEFT(B36,LEN(B36)-3)),"")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39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IF(B37&lt;&gt;"",TRIM(LEFT(B37,LEN(B37)-3)),"")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40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IF(B38&lt;&gt;"",TRIM(LEFT(B38,LEN(B38)-3)),"")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14" t="s">
        <v>51</v>
      </c>
      <c r="B40" s="32" t="s">
        <v>68</v>
      </c>
      <c r="C40" s="32" t="s">
        <v>72</v>
      </c>
      <c r="D40" s="18" t="s">
        <v>52</v>
      </c>
      <c r="F40" s="207" t="s">
        <v>73</v>
      </c>
      <c r="G40" s="208"/>
      <c r="H40" s="208"/>
      <c r="I40" s="208"/>
      <c r="J40" s="208"/>
      <c r="K40" s="208"/>
      <c r="L40" s="208"/>
      <c r="M40" s="208"/>
      <c r="N40" s="208"/>
      <c r="O40" s="208"/>
      <c r="P40" s="208"/>
      <c r="Q40" s="208"/>
      <c r="R40" s="208"/>
      <c r="S40" s="209"/>
    </row>
    <row r="41" spans="1:19" ht="15.75" thickBot="1">
      <c r="A41" s="215"/>
      <c r="B41" s="35" t="s">
        <v>83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215"/>
      <c r="B42" s="50" t="s">
        <v>90</v>
      </c>
      <c r="C42" s="37" t="str">
        <f>IF(SUMIF(Taiere!I2:I99,"CLEAF",Taiere!C2:C99)=0,"",(SUMIF(Taiere!I2:I99,"CLEAF",Taiere!C2:C99)))</f>
        <v/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75">
        <f>IF(COUNTIF(Deco!AA2:AA34,"Vezi EK")&gt;0,0,1)</f>
        <v>1</v>
      </c>
    </row>
    <row r="43" spans="1:19" ht="15.75" thickBot="1">
      <c r="A43" s="215"/>
      <c r="B43" s="50" t="s">
        <v>84</v>
      </c>
      <c r="C43" s="30" t="str">
        <f>IF(SUMIF(B32:B34, "*/600", C32:C34) + SUMIF(B32:B34, "*/650", C32:C34)=0, "",SUMIF(B32:B34, "*/600", C32:C34) + SUMIF(B32:B34, "*/650", C32:C34))</f>
        <v/>
      </c>
      <c r="D43" s="74" t="s">
        <v>55</v>
      </c>
      <c r="E43" s="2"/>
      <c r="F43" s="197" t="str">
        <f>IF(COUNTIF(Deco!AA2:AA34,"Vezi EK")&gt;0,"Atentie! Verifica EK dublaje","Nr. Piese Dublaje")</f>
        <v>Nr. Piese Dublaje</v>
      </c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76"/>
    </row>
    <row r="44" spans="1:19">
      <c r="A44" s="215"/>
      <c r="B44" s="50" t="s">
        <v>89</v>
      </c>
      <c r="C44" s="30" t="str">
        <f>IF(SUMIF(B32:B34, "*/920", C32:C34)=0, "",SUMIF(B32:B34, "*/920", C32:C34)=0)</f>
        <v/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215"/>
      <c r="B45" s="33" t="s">
        <v>91</v>
      </c>
      <c r="C45" s="30" t="str">
        <f>IF(SUM(C36:C38)=0,"",SUM(C36:C38))</f>
        <v/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215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215"/>
      <c r="B47" s="33" t="s">
        <v>86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4" t="s">
        <v>54</v>
      </c>
      <c r="F47" s="175" t="s">
        <v>34</v>
      </c>
      <c r="G47" s="245" t="str">
        <f>IF(I6="PLAN M",SUM(C11:C28), "N/A")</f>
        <v>N/A</v>
      </c>
      <c r="J47" s="175" t="s">
        <v>88</v>
      </c>
      <c r="K47" s="234">
        <v>1</v>
      </c>
      <c r="N47" s="175" t="s">
        <v>110</v>
      </c>
      <c r="O47" s="177"/>
      <c r="P47" s="178"/>
      <c r="R47" s="175" t="s">
        <v>116</v>
      </c>
      <c r="S47" s="175"/>
    </row>
    <row r="48" spans="1:19" ht="15.75" thickBot="1">
      <c r="A48" s="217"/>
      <c r="B48" s="36" t="s">
        <v>87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72" t="s">
        <v>55</v>
      </c>
      <c r="F48" s="223"/>
      <c r="G48" s="246"/>
      <c r="J48" s="223"/>
      <c r="K48" s="235"/>
      <c r="N48" s="176"/>
      <c r="O48" s="179"/>
      <c r="P48" s="180"/>
      <c r="R48" s="176"/>
      <c r="S48" s="223"/>
    </row>
    <row r="49" spans="1:19" ht="2.1" hidden="1" customHeight="1">
      <c r="A49" s="40"/>
      <c r="B49" s="41"/>
      <c r="C49" s="1"/>
      <c r="D49" s="2"/>
    </row>
    <row r="50" spans="1:19">
      <c r="A50" s="227" t="s">
        <v>66</v>
      </c>
      <c r="B50" s="256"/>
      <c r="C50" s="257"/>
      <c r="D50" s="257"/>
      <c r="E50" s="257"/>
      <c r="F50" s="257"/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8"/>
    </row>
    <row r="51" spans="1:19">
      <c r="A51" s="215"/>
      <c r="B51" s="259"/>
      <c r="C51" s="260"/>
      <c r="D51" s="260"/>
      <c r="E51" s="260"/>
      <c r="F51" s="260"/>
      <c r="G51" s="260"/>
      <c r="H51" s="260"/>
      <c r="I51" s="260"/>
      <c r="J51" s="260"/>
      <c r="K51" s="260"/>
      <c r="L51" s="260"/>
      <c r="M51" s="260"/>
      <c r="N51" s="260"/>
      <c r="O51" s="260"/>
      <c r="P51" s="260"/>
      <c r="Q51" s="260"/>
      <c r="R51" s="260"/>
      <c r="S51" s="261"/>
    </row>
    <row r="52" spans="1:19">
      <c r="A52" s="215"/>
      <c r="B52" s="259"/>
      <c r="C52" s="260"/>
      <c r="D52" s="260"/>
      <c r="E52" s="260"/>
      <c r="F52" s="260"/>
      <c r="G52" s="260"/>
      <c r="H52" s="260"/>
      <c r="I52" s="260"/>
      <c r="J52" s="260"/>
      <c r="K52" s="260"/>
      <c r="L52" s="260"/>
      <c r="M52" s="260"/>
      <c r="N52" s="260"/>
      <c r="O52" s="260"/>
      <c r="P52" s="260"/>
      <c r="Q52" s="260"/>
      <c r="R52" s="260"/>
      <c r="S52" s="261"/>
    </row>
    <row r="53" spans="1:19">
      <c r="A53" s="215"/>
      <c r="B53" s="259"/>
      <c r="C53" s="260"/>
      <c r="D53" s="260"/>
      <c r="E53" s="260"/>
      <c r="F53" s="260"/>
      <c r="G53" s="260"/>
      <c r="H53" s="260"/>
      <c r="I53" s="260"/>
      <c r="J53" s="260"/>
      <c r="K53" s="260"/>
      <c r="L53" s="260"/>
      <c r="M53" s="260"/>
      <c r="N53" s="260"/>
      <c r="O53" s="260"/>
      <c r="P53" s="260"/>
      <c r="Q53" s="260"/>
      <c r="R53" s="260"/>
      <c r="S53" s="261"/>
    </row>
    <row r="54" spans="1:19">
      <c r="A54" s="215"/>
      <c r="B54" s="259"/>
      <c r="C54" s="260"/>
      <c r="D54" s="260"/>
      <c r="E54" s="260"/>
      <c r="F54" s="260"/>
      <c r="G54" s="260"/>
      <c r="H54" s="260"/>
      <c r="I54" s="260"/>
      <c r="J54" s="260"/>
      <c r="K54" s="260"/>
      <c r="L54" s="260"/>
      <c r="M54" s="260"/>
      <c r="N54" s="260"/>
      <c r="O54" s="260"/>
      <c r="P54" s="260"/>
      <c r="Q54" s="260"/>
      <c r="R54" s="260"/>
      <c r="S54" s="261"/>
    </row>
    <row r="55" spans="1:19">
      <c r="A55" s="215"/>
      <c r="B55" s="259"/>
      <c r="C55" s="260"/>
      <c r="D55" s="260"/>
      <c r="E55" s="260"/>
      <c r="F55" s="260"/>
      <c r="G55" s="260"/>
      <c r="H55" s="260"/>
      <c r="I55" s="260"/>
      <c r="J55" s="260"/>
      <c r="K55" s="260"/>
      <c r="L55" s="260"/>
      <c r="M55" s="260"/>
      <c r="N55" s="260"/>
      <c r="O55" s="260"/>
      <c r="P55" s="260"/>
      <c r="Q55" s="260"/>
      <c r="R55" s="260"/>
      <c r="S55" s="261"/>
    </row>
    <row r="56" spans="1:19">
      <c r="A56" s="215"/>
      <c r="B56" s="259"/>
      <c r="C56" s="260"/>
      <c r="D56" s="260"/>
      <c r="E56" s="260"/>
      <c r="F56" s="260"/>
      <c r="G56" s="260"/>
      <c r="H56" s="260"/>
      <c r="I56" s="260"/>
      <c r="J56" s="260"/>
      <c r="K56" s="260"/>
      <c r="L56" s="260"/>
      <c r="M56" s="260"/>
      <c r="N56" s="260"/>
      <c r="O56" s="260"/>
      <c r="P56" s="260"/>
      <c r="Q56" s="260"/>
      <c r="R56" s="260"/>
      <c r="S56" s="261"/>
    </row>
    <row r="57" spans="1:19" ht="15.75" thickBot="1">
      <c r="A57" s="217"/>
      <c r="B57" s="262"/>
      <c r="C57" s="263"/>
      <c r="D57" s="263"/>
      <c r="E57" s="263"/>
      <c r="F57" s="263"/>
      <c r="G57" s="263"/>
      <c r="H57" s="263"/>
      <c r="I57" s="263"/>
      <c r="J57" s="263"/>
      <c r="K57" s="263"/>
      <c r="L57" s="263"/>
      <c r="M57" s="263"/>
      <c r="N57" s="263"/>
      <c r="O57" s="263"/>
      <c r="P57" s="263"/>
      <c r="Q57" s="263"/>
      <c r="R57" s="263"/>
      <c r="S57" s="264"/>
    </row>
  </sheetData>
  <mergeCells count="41">
    <mergeCell ref="I3:K3"/>
    <mergeCell ref="A50:A57"/>
    <mergeCell ref="A8:D9"/>
    <mergeCell ref="N9:O9"/>
    <mergeCell ref="F47:F48"/>
    <mergeCell ref="J47:J48"/>
    <mergeCell ref="K47:K48"/>
    <mergeCell ref="P9:Q9"/>
    <mergeCell ref="A32:A34"/>
    <mergeCell ref="A36:A38"/>
    <mergeCell ref="J9:K9"/>
    <mergeCell ref="F9:G9"/>
    <mergeCell ref="G47:G48"/>
    <mergeCell ref="B4:D4"/>
    <mergeCell ref="I4:K4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S42:S43"/>
    <mergeCell ref="N47:N48"/>
    <mergeCell ref="O47:P48"/>
    <mergeCell ref="L9:M9"/>
    <mergeCell ref="B5:D5"/>
    <mergeCell ref="H9:I9"/>
    <mergeCell ref="B6:D6"/>
    <mergeCell ref="I6:K6"/>
    <mergeCell ref="I5:K5"/>
    <mergeCell ref="F43:R43"/>
  </mergeCells>
  <phoneticPr fontId="10" type="noConversion"/>
  <pageMargins left="0.7" right="0.7" top="0.75" bottom="0.75" header="0.3" footer="0.3"/>
  <pageSetup paperSize="9" scale="64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workbookViewId="0">
      <selection activeCell="I15" sqref="I1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si="4"/>
        <v>CUT BLAT 600</v>
      </c>
    </row>
    <row r="188" spans="1:4">
      <c r="A188" t="s">
        <v>31</v>
      </c>
      <c r="B188" t="str">
        <f>Fisa!C44</f>
        <v/>
      </c>
      <c r="D188" t="str">
        <f t="shared" si="4"/>
        <v>CUT BLAT 920</v>
      </c>
    </row>
    <row r="189" spans="1:4">
      <c r="A189" t="s">
        <v>32</v>
      </c>
      <c r="B189" t="str">
        <f>Fisa!C45</f>
        <v/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 t="str">
        <f>Fisa!C47</f>
        <v/>
      </c>
      <c r="D191" t="str">
        <f t="shared" si="4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94</v>
      </c>
      <c r="B193" t="str">
        <f>Fisa!C42</f>
        <v/>
      </c>
      <c r="D193" t="str">
        <f t="shared" ref="D193:D194" si="5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53" t="s">
        <v>14</v>
      </c>
      <c r="B1" s="253"/>
      <c r="C1" s="253"/>
      <c r="D1" s="253"/>
      <c r="E1" s="253"/>
      <c r="F1" s="253"/>
      <c r="G1" s="253"/>
      <c r="H1" s="253"/>
      <c r="I1" s="253"/>
      <c r="J1" s="253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54">
        <f>Fisa!B3:D3</f>
        <v>0</v>
      </c>
      <c r="C3" s="254"/>
      <c r="D3" s="254"/>
      <c r="E3" s="254"/>
      <c r="F3" s="254"/>
      <c r="G3" s="254"/>
      <c r="H3" s="5"/>
      <c r="I3" s="5"/>
      <c r="J3" s="5"/>
      <c r="K3" s="5"/>
      <c r="L3" s="5"/>
    </row>
    <row r="4" spans="1:12" customFormat="1">
      <c r="A4" s="6" t="s">
        <v>7</v>
      </c>
      <c r="B4" s="255">
        <f>Fisa!B6</f>
        <v>0</v>
      </c>
      <c r="C4" s="255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opLeftCell="A2" zoomScaleNormal="100" workbookViewId="0">
      <selection activeCell="W2" sqref="W2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 t="str">
        <f>IFERROR(IF(OR(W2="DB PAL",W2="DB MDF"),ROUND(Q2/13.5,0),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OR(B2=36,B2=37.2,B2=32,B2=26, 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 /"&amp;E2,"")
&amp;IF(E2=640," PS",""),"")
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SUBSTITUTE(X2," ","",1),
        X2
    ),
    " "
)</f>
        <v xml:space="preserve"> </v>
      </c>
      <c r="AA2" t="str">
        <f>IF(OR(W2="DB PAL",W2="DB MDF"),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1">IFERROR(IF(OR(W3="DB PAL",W3="DB MDF"),ROUND(Q3/13.5,0), ROUND(Q3/P3,2)),"")</f>
        <v/>
      </c>
      <c r="W3" t="str">
        <f t="shared" ref="W3:W34" si="2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OR(B3=36,B3=37.2,B3=32,B3=26, 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3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si="0"/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SUBSTITUTE(X3," ","",1),
        X3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67"/>
      <c r="S4" s="164"/>
      <c r="T4" s="145"/>
      <c r="U4" s="131"/>
      <c r="V4" s="169" t="str">
        <f t="shared" si="1"/>
        <v/>
      </c>
      <c r="W4" t="str">
        <f t="shared" si="2"/>
        <v>N/A</v>
      </c>
      <c r="X4" t="str">
        <f t="shared" si="3"/>
        <v/>
      </c>
      <c r="Y4" t="str">
        <f t="shared" si="0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1"/>
        <v/>
      </c>
      <c r="W5" t="str">
        <f t="shared" si="2"/>
        <v>N/A</v>
      </c>
      <c r="X5" t="str">
        <f t="shared" si="3"/>
        <v/>
      </c>
      <c r="Y5" t="str">
        <f t="shared" si="0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1"/>
        <v/>
      </c>
      <c r="W6" t="str">
        <f t="shared" si="2"/>
        <v>N/A</v>
      </c>
      <c r="X6" t="str">
        <f t="shared" si="3"/>
        <v/>
      </c>
      <c r="Y6" t="str">
        <f t="shared" si="0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1"/>
        <v/>
      </c>
      <c r="W7" t="str">
        <f t="shared" si="2"/>
        <v>N/A</v>
      </c>
      <c r="X7" t="str">
        <f t="shared" si="3"/>
        <v/>
      </c>
      <c r="Y7" t="str">
        <f t="shared" si="0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1"/>
        <v/>
      </c>
      <c r="W8" t="str">
        <f t="shared" si="2"/>
        <v>N/A</v>
      </c>
      <c r="X8" t="str">
        <f t="shared" si="3"/>
        <v/>
      </c>
      <c r="Y8" t="str">
        <f t="shared" si="0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1"/>
        <v/>
      </c>
      <c r="W9" t="str">
        <f t="shared" si="2"/>
        <v>N/A</v>
      </c>
      <c r="X9" t="str">
        <f t="shared" si="3"/>
        <v/>
      </c>
      <c r="Y9" t="str">
        <f t="shared" si="0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1"/>
        <v/>
      </c>
      <c r="W10" t="str">
        <f t="shared" si="2"/>
        <v>N/A</v>
      </c>
      <c r="X10" t="str">
        <f t="shared" si="3"/>
        <v/>
      </c>
      <c r="Y10" t="str">
        <f t="shared" si="0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1"/>
        <v/>
      </c>
      <c r="W11" t="str">
        <f t="shared" si="2"/>
        <v>N/A</v>
      </c>
      <c r="X11" t="str">
        <f t="shared" si="3"/>
        <v/>
      </c>
      <c r="Y11" t="str">
        <f t="shared" si="0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1"/>
        <v/>
      </c>
      <c r="W12" t="str">
        <f t="shared" si="2"/>
        <v>N/A</v>
      </c>
      <c r="X12" t="str">
        <f t="shared" si="3"/>
        <v/>
      </c>
      <c r="Y12" t="str">
        <f t="shared" si="0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1"/>
        <v/>
      </c>
      <c r="W13" t="str">
        <f t="shared" si="2"/>
        <v>N/A</v>
      </c>
      <c r="X13" t="str">
        <f t="shared" si="3"/>
        <v/>
      </c>
      <c r="Y13" t="str">
        <f t="shared" si="0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1"/>
        <v/>
      </c>
      <c r="W14" t="str">
        <f t="shared" si="2"/>
        <v>N/A</v>
      </c>
      <c r="X14" t="str">
        <f t="shared" si="3"/>
        <v/>
      </c>
      <c r="Y14" t="str">
        <f t="shared" si="0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1"/>
        <v/>
      </c>
      <c r="W15" t="str">
        <f t="shared" si="2"/>
        <v>N/A</v>
      </c>
      <c r="X15" t="str">
        <f t="shared" si="3"/>
        <v/>
      </c>
      <c r="Y15" t="str">
        <f t="shared" si="0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1"/>
        <v/>
      </c>
      <c r="W16" t="str">
        <f t="shared" si="2"/>
        <v>N/A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1"/>
        <v/>
      </c>
      <c r="W17" t="str">
        <f t="shared" si="2"/>
        <v>N/A</v>
      </c>
      <c r="X17" t="str">
        <f t="shared" si="3"/>
        <v/>
      </c>
      <c r="Y17" t="str">
        <f t="shared" si="6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1"/>
        <v/>
      </c>
      <c r="W18" t="str">
        <f t="shared" si="2"/>
        <v>N/A</v>
      </c>
      <c r="X18" t="str">
        <f t="shared" si="3"/>
        <v/>
      </c>
      <c r="Y18" t="str">
        <f t="shared" si="6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1"/>
        <v/>
      </c>
      <c r="W19" t="str">
        <f t="shared" si="2"/>
        <v>N/A</v>
      </c>
      <c r="X19" t="str">
        <f t="shared" si="3"/>
        <v/>
      </c>
      <c r="Y19" t="str">
        <f t="shared" si="6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1"/>
        <v/>
      </c>
      <c r="W20" t="str">
        <f t="shared" si="2"/>
        <v>N/A</v>
      </c>
      <c r="X20" t="str">
        <f t="shared" si="3"/>
        <v/>
      </c>
      <c r="Y20" t="str">
        <f t="shared" si="6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1"/>
        <v/>
      </c>
      <c r="W21" t="str">
        <f t="shared" si="2"/>
        <v>N/A</v>
      </c>
      <c r="X21" t="str">
        <f t="shared" si="3"/>
        <v/>
      </c>
      <c r="Y21" t="str">
        <f t="shared" si="6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1"/>
        <v/>
      </c>
      <c r="W22" t="str">
        <f t="shared" si="2"/>
        <v>N/A</v>
      </c>
      <c r="X22" t="str">
        <f t="shared" si="3"/>
        <v/>
      </c>
      <c r="Y22" t="str">
        <f t="shared" si="6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1"/>
        <v/>
      </c>
      <c r="W23" t="str">
        <f t="shared" si="2"/>
        <v>N/A</v>
      </c>
      <c r="X23" t="str">
        <f t="shared" si="3"/>
        <v/>
      </c>
      <c r="Y23" t="str">
        <f t="shared" si="6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1"/>
        <v/>
      </c>
      <c r="W24" t="str">
        <f t="shared" si="2"/>
        <v>N/A</v>
      </c>
      <c r="X24" t="str">
        <f t="shared" si="3"/>
        <v/>
      </c>
      <c r="Y24" t="str">
        <f t="shared" si="6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1"/>
        <v/>
      </c>
      <c r="W25" t="str">
        <f t="shared" si="2"/>
        <v>N/A</v>
      </c>
      <c r="X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1"/>
        <v/>
      </c>
      <c r="W26" t="str">
        <f t="shared" si="2"/>
        <v>N/A</v>
      </c>
      <c r="X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1"/>
        <v/>
      </c>
      <c r="W27" t="str">
        <f t="shared" si="2"/>
        <v>N/A</v>
      </c>
      <c r="X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1"/>
        <v/>
      </c>
      <c r="W28" t="str">
        <f t="shared" si="2"/>
        <v>N/A</v>
      </c>
      <c r="X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1"/>
        <v/>
      </c>
      <c r="W29" t="str">
        <f t="shared" si="2"/>
        <v>N/A</v>
      </c>
      <c r="X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1"/>
        <v/>
      </c>
      <c r="W30" t="str">
        <f t="shared" si="2"/>
        <v>N/A</v>
      </c>
      <c r="X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1"/>
        <v/>
      </c>
      <c r="W31" t="str">
        <f t="shared" si="2"/>
        <v>N/A</v>
      </c>
      <c r="X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1"/>
        <v/>
      </c>
      <c r="W32" t="str">
        <f t="shared" si="2"/>
        <v>N/A</v>
      </c>
      <c r="X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1"/>
        <v/>
      </c>
      <c r="W33" t="str">
        <f t="shared" si="2"/>
        <v>N/A</v>
      </c>
      <c r="X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1"/>
        <v/>
      </c>
      <c r="W34" t="str">
        <f t="shared" si="2"/>
        <v>N/A</v>
      </c>
      <c r="X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D22" sqref="D2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2025-11-10T13:17:49Z</cp:lastPrinted>
  <dcterms:created xsi:type="dcterms:W3CDTF">2018-08-21T07:33:50Z</dcterms:created>
  <dcterms:modified xsi:type="dcterms:W3CDTF">2026-07-09T06:46:26Z</dcterms:modified>
</cp:coreProperties>
</file>