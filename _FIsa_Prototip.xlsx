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BFF21081-4C14-480F-B4A8-A7CE16D84001}" xr6:coauthVersionLast="47" xr6:coauthVersionMax="47" xr10:uidLastSave="{00000000-0000-0000-0000-000000000000}"/>
  <bookViews>
    <workbookView xWindow="-120" yWindow="-120" windowWidth="29040" windowHeight="15720" activeTab="4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0" l="1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18" i="10" l="1"/>
  <c r="H19" i="10"/>
  <c r="H20" i="10"/>
  <c r="H21" i="10"/>
  <c r="H22" i="10"/>
  <c r="H23" i="10"/>
  <c r="R23" i="6"/>
  <c r="R29" i="6"/>
  <c r="R30" i="6"/>
  <c r="R31" i="6"/>
  <c r="R35" i="6"/>
  <c r="P23" i="6"/>
  <c r="P29" i="6"/>
  <c r="P30" i="6"/>
  <c r="P31" i="6"/>
  <c r="P35" i="6"/>
  <c r="N23" i="6"/>
  <c r="N29" i="6"/>
  <c r="N30" i="6"/>
  <c r="N31" i="6"/>
  <c r="N35" i="6"/>
  <c r="L23" i="6"/>
  <c r="L29" i="6"/>
  <c r="L30" i="6"/>
  <c r="L31" i="6"/>
  <c r="L35" i="6"/>
  <c r="J23" i="6"/>
  <c r="J29" i="6"/>
  <c r="J30" i="6"/>
  <c r="J31" i="6"/>
  <c r="J35" i="6"/>
  <c r="H23" i="6"/>
  <c r="H29" i="6"/>
  <c r="H30" i="6"/>
  <c r="H31" i="6"/>
  <c r="H35" i="6"/>
  <c r="B33" i="6" l="1" a="1"/>
  <c r="B33" i="6" s="1"/>
  <c r="B34" i="6" a="1"/>
  <c r="B34" i="6" s="1"/>
  <c r="Z3" i="9" l="1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B30" i="6" a="1"/>
  <c r="B30" i="6" s="1"/>
  <c r="B24" i="6" a="1"/>
  <c r="B24" i="6" s="1"/>
  <c r="A14" i="7" s="1"/>
  <c r="B32" i="6" a="1"/>
  <c r="B32" i="6" s="1"/>
  <c r="A144" i="7" l="1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I26" i="19" l="1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11" i="6" l="1" a="1"/>
  <c r="F11" i="6" s="1"/>
  <c r="F12" i="6" s="1" a="1"/>
  <c r="F12" i="6" s="1"/>
  <c r="S42" i="6"/>
  <c r="F43" i="6"/>
  <c r="I20" i="19"/>
  <c r="I19" i="19"/>
  <c r="I17" i="19"/>
  <c r="I15" i="19"/>
  <c r="B11" i="6"/>
  <c r="B15" i="6" a="1"/>
  <c r="B15" i="6" s="1"/>
  <c r="D15" i="6" s="1" a="1"/>
  <c r="D15" i="6" s="1"/>
  <c r="C15" i="6" s="1" a="1"/>
  <c r="C15" i="6" s="1"/>
  <c r="B28" i="6" a="1"/>
  <c r="B28" i="6" s="1"/>
  <c r="A18" i="7" s="1"/>
  <c r="B21" i="6" a="1"/>
  <c r="B21" i="6" s="1"/>
  <c r="B17" i="6" a="1"/>
  <c r="B17" i="6" s="1"/>
  <c r="B18" i="6" a="1"/>
  <c r="B18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P12" i="6" l="1"/>
  <c r="Q12" i="6" s="1"/>
  <c r="L12" i="6"/>
  <c r="N12" i="6"/>
  <c r="R12" i="6"/>
  <c r="H12" i="6"/>
  <c r="J12" i="6"/>
  <c r="O12" i="6"/>
  <c r="S12" i="6"/>
  <c r="F13" i="6" a="1"/>
  <c r="F13" i="6" s="1"/>
  <c r="L11" i="6"/>
  <c r="H11" i="6"/>
  <c r="P11" i="6"/>
  <c r="Q11" i="6" s="1"/>
  <c r="J11" i="6"/>
  <c r="N11" i="6"/>
  <c r="O11" i="6" s="1"/>
  <c r="R11" i="6"/>
  <c r="S11" i="6" s="1"/>
  <c r="C41" i="6"/>
  <c r="C42" i="6"/>
  <c r="C47" i="6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B14" i="7" s="1"/>
  <c r="E14" i="7" s="1" a="1"/>
  <c r="E14" i="7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C33" i="6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 a="1"/>
  <c r="F14" i="6" s="1"/>
  <c r="R13" i="6"/>
  <c r="J13" i="6"/>
  <c r="P13" i="6"/>
  <c r="Q13" i="6" s="1"/>
  <c r="H13" i="6"/>
  <c r="L13" i="6"/>
  <c r="N13" i="6"/>
  <c r="O13" i="6"/>
  <c r="C43" i="6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F15" i="6" l="1" a="1"/>
  <c r="F15" i="6" s="1"/>
  <c r="P15" i="6" s="1"/>
  <c r="H14" i="6"/>
  <c r="N14" i="6"/>
  <c r="O14" i="6" s="1"/>
  <c r="P14" i="6"/>
  <c r="Q14" i="6" s="1"/>
  <c r="R14" i="6"/>
  <c r="J14" i="6"/>
  <c r="L14" i="6"/>
  <c r="G12" i="6"/>
  <c r="G13" i="6"/>
  <c r="G11" i="6"/>
  <c r="G14" i="6"/>
  <c r="G47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L15" i="6" l="1"/>
  <c r="G15" i="6"/>
  <c r="J15" i="6"/>
  <c r="H15" i="6"/>
  <c r="N15" i="6"/>
  <c r="O15" i="6" s="1"/>
  <c r="F16" i="6" a="1"/>
  <c r="F16" i="6" s="1"/>
  <c r="H16" i="6" s="1"/>
  <c r="R15" i="6"/>
  <c r="Q15" i="6"/>
  <c r="D45" i="6"/>
  <c r="G16" i="6" l="1"/>
  <c r="B60" i="7" s="1"/>
  <c r="P16" i="6"/>
  <c r="Q16" i="6" s="1"/>
  <c r="N16" i="6"/>
  <c r="O16" i="6" s="1"/>
  <c r="J16" i="6"/>
  <c r="F17" i="6" a="1"/>
  <c r="F17" i="6" s="1"/>
  <c r="L16" i="6"/>
  <c r="R16" i="6"/>
  <c r="A25" i="7"/>
  <c r="D25" i="7" s="1"/>
  <c r="B25" i="7"/>
  <c r="B32" i="7"/>
  <c r="B39" i="7"/>
  <c r="B46" i="7"/>
  <c r="B53" i="7"/>
  <c r="B144" i="7"/>
  <c r="E144" i="7" s="1"/>
  <c r="B193" i="7"/>
  <c r="F18" i="6" l="1" a="1"/>
  <c r="F18" i="6" s="1"/>
  <c r="P17" i="6"/>
  <c r="Q17" i="6" s="1"/>
  <c r="J17" i="6"/>
  <c r="R17" i="6"/>
  <c r="G17" i="6"/>
  <c r="B67" i="7" s="1"/>
  <c r="H17" i="6"/>
  <c r="L17" i="6"/>
  <c r="N17" i="6"/>
  <c r="O17" i="6" s="1"/>
  <c r="A31" i="7"/>
  <c r="D31" i="7" s="1"/>
  <c r="B31" i="7"/>
  <c r="I11" i="6"/>
  <c r="L18" i="6" l="1"/>
  <c r="R18" i="6"/>
  <c r="H18" i="6"/>
  <c r="J18" i="6"/>
  <c r="N18" i="6"/>
  <c r="O18" i="6" s="1"/>
  <c r="P18" i="6"/>
  <c r="Q18" i="6" s="1"/>
  <c r="G18" i="6"/>
  <c r="B74" i="7" s="1"/>
  <c r="F19" i="6" a="1"/>
  <c r="F19" i="6" s="1"/>
  <c r="F20" i="6" s="1" a="1"/>
  <c r="F20" i="6" s="1"/>
  <c r="B30" i="7"/>
  <c r="B29" i="7"/>
  <c r="M11" i="6"/>
  <c r="B28" i="7" s="1"/>
  <c r="A29" i="7"/>
  <c r="D29" i="7" s="1"/>
  <c r="A30" i="7"/>
  <c r="D30" i="7" s="1"/>
  <c r="A28" i="7"/>
  <c r="D28" i="7" s="1"/>
  <c r="A26" i="7"/>
  <c r="D26" i="7" s="1"/>
  <c r="B201" i="7"/>
  <c r="D201" i="7"/>
  <c r="L20" i="6" l="1"/>
  <c r="M20" i="6" s="1"/>
  <c r="P20" i="6"/>
  <c r="Q20" i="6" s="1"/>
  <c r="H20" i="6"/>
  <c r="J20" i="6"/>
  <c r="G20" i="6"/>
  <c r="B88" i="7" s="1"/>
  <c r="R20" i="6"/>
  <c r="N20" i="6"/>
  <c r="O20" i="6" s="1"/>
  <c r="F21" i="6" a="1"/>
  <c r="F21" i="6" s="1"/>
  <c r="P19" i="6"/>
  <c r="Q19" i="6" s="1"/>
  <c r="J19" i="6"/>
  <c r="R19" i="6"/>
  <c r="L19" i="6"/>
  <c r="G19" i="6"/>
  <c r="B81" i="7" s="1"/>
  <c r="N19" i="6"/>
  <c r="O19" i="6" s="1"/>
  <c r="H19" i="6"/>
  <c r="B26" i="7"/>
  <c r="B202" i="7"/>
  <c r="A202" i="7"/>
  <c r="L21" i="6" l="1"/>
  <c r="J21" i="6"/>
  <c r="G21" i="6"/>
  <c r="B95" i="7" s="1"/>
  <c r="H21" i="6"/>
  <c r="R21" i="6"/>
  <c r="N21" i="6"/>
  <c r="O21" i="6" s="1"/>
  <c r="P21" i="6"/>
  <c r="Q21" i="6" s="1"/>
  <c r="F22" i="6" a="1"/>
  <c r="F22" i="6" s="1"/>
  <c r="B51" i="8"/>
  <c r="B52" i="8"/>
  <c r="B53" i="8"/>
  <c r="B54" i="8"/>
  <c r="B50" i="8"/>
  <c r="C51" i="8"/>
  <c r="C52" i="8"/>
  <c r="C53" i="8"/>
  <c r="C54" i="8"/>
  <c r="C50" i="8"/>
  <c r="R22" i="6" l="1"/>
  <c r="G22" i="6"/>
  <c r="J22" i="6"/>
  <c r="H22" i="6"/>
  <c r="F24" i="6" a="1"/>
  <c r="F24" i="6" s="1"/>
  <c r="S23" i="6"/>
  <c r="P22" i="6"/>
  <c r="Q22" i="6" s="1"/>
  <c r="L22" i="6"/>
  <c r="N22" i="6"/>
  <c r="O22" i="6" s="1"/>
  <c r="B58" i="8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F25" i="6" l="1" a="1"/>
  <c r="F25" i="6" s="1"/>
  <c r="L24" i="6"/>
  <c r="A112" i="7" s="1"/>
  <c r="D112" i="7" s="1"/>
  <c r="R24" i="6"/>
  <c r="A115" i="7" s="1"/>
  <c r="D115" i="7" s="1"/>
  <c r="N24" i="6"/>
  <c r="A113" i="7" s="1"/>
  <c r="D113" i="7" s="1"/>
  <c r="H24" i="6"/>
  <c r="A110" i="7" s="1"/>
  <c r="D110" i="7" s="1"/>
  <c r="A109" i="7"/>
  <c r="D109" i="7" s="1"/>
  <c r="P24" i="6"/>
  <c r="A114" i="7" s="1"/>
  <c r="D114" i="7" s="1"/>
  <c r="J24" i="6"/>
  <c r="A111" i="7" s="1"/>
  <c r="D111" i="7" s="1"/>
  <c r="G24" i="6"/>
  <c r="B109" i="7" s="1"/>
  <c r="I24" i="6"/>
  <c r="B110" i="7" s="1"/>
  <c r="M24" i="6"/>
  <c r="M21" i="6"/>
  <c r="K21" i="6"/>
  <c r="S21" i="6"/>
  <c r="I21" i="6"/>
  <c r="K20" i="6"/>
  <c r="I20" i="6"/>
  <c r="S20" i="6"/>
  <c r="K19" i="6"/>
  <c r="I19" i="6"/>
  <c r="S19" i="6"/>
  <c r="M19" i="6"/>
  <c r="K18" i="6"/>
  <c r="S18" i="6"/>
  <c r="I18" i="6"/>
  <c r="M18" i="6"/>
  <c r="M17" i="6"/>
  <c r="I17" i="6"/>
  <c r="K17" i="6"/>
  <c r="S17" i="6"/>
  <c r="I16" i="6"/>
  <c r="K16" i="6"/>
  <c r="M16" i="6"/>
  <c r="S16" i="6"/>
  <c r="M15" i="6"/>
  <c r="I15" i="6"/>
  <c r="S15" i="6"/>
  <c r="K15" i="6"/>
  <c r="I14" i="6"/>
  <c r="S14" i="6"/>
  <c r="K14" i="6"/>
  <c r="M14" i="6"/>
  <c r="K13" i="6"/>
  <c r="S13" i="6"/>
  <c r="I13" i="6"/>
  <c r="M13" i="6"/>
  <c r="K12" i="6"/>
  <c r="M12" i="6"/>
  <c r="I12" i="6"/>
  <c r="F26" i="6" l="1" a="1"/>
  <c r="F26" i="6" s="1"/>
  <c r="F27" i="6" s="1" a="1"/>
  <c r="F27" i="6" s="1"/>
  <c r="O24" i="6"/>
  <c r="S24" i="6"/>
  <c r="Q24" i="6"/>
  <c r="H25" i="6"/>
  <c r="A117" i="7" s="1"/>
  <c r="D117" i="7" s="1"/>
  <c r="L25" i="6"/>
  <c r="A119" i="7" s="1"/>
  <c r="D119" i="7" s="1"/>
  <c r="R25" i="6"/>
  <c r="A122" i="7" s="1"/>
  <c r="D122" i="7" s="1"/>
  <c r="A116" i="7"/>
  <c r="D116" i="7" s="1"/>
  <c r="J25" i="6"/>
  <c r="A118" i="7" s="1"/>
  <c r="D118" i="7" s="1"/>
  <c r="G25" i="6"/>
  <c r="B116" i="7" s="1"/>
  <c r="N25" i="6"/>
  <c r="A120" i="7" s="1"/>
  <c r="D120" i="7" s="1"/>
  <c r="P25" i="6"/>
  <c r="A121" i="7" s="1"/>
  <c r="D121" i="7" s="1"/>
  <c r="S25" i="6"/>
  <c r="K24" i="6"/>
  <c r="B45" i="7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K25" i="6" l="1"/>
  <c r="I25" i="6"/>
  <c r="B117" i="7" s="1"/>
  <c r="P27" i="6"/>
  <c r="A135" i="7" s="1"/>
  <c r="D135" i="7" s="1"/>
  <c r="H27" i="6"/>
  <c r="A131" i="7" s="1"/>
  <c r="D131" i="7" s="1"/>
  <c r="R27" i="6"/>
  <c r="A136" i="7" s="1"/>
  <c r="D136" i="7" s="1"/>
  <c r="J27" i="6"/>
  <c r="A132" i="7" s="1"/>
  <c r="D132" i="7" s="1"/>
  <c r="A130" i="7"/>
  <c r="D130" i="7" s="1"/>
  <c r="L27" i="6"/>
  <c r="A133" i="7" s="1"/>
  <c r="D133" i="7" s="1"/>
  <c r="G27" i="6"/>
  <c r="B130" i="7" s="1"/>
  <c r="N27" i="6"/>
  <c r="A134" i="7" s="1"/>
  <c r="D134" i="7" s="1"/>
  <c r="F28" i="6" a="1"/>
  <c r="F28" i="6" s="1"/>
  <c r="O25" i="6"/>
  <c r="B120" i="7" s="1"/>
  <c r="Q25" i="6"/>
  <c r="B121" i="7" s="1"/>
  <c r="A123" i="7"/>
  <c r="D123" i="7" s="1"/>
  <c r="H26" i="6"/>
  <c r="A124" i="7" s="1"/>
  <c r="D124" i="7" s="1"/>
  <c r="L26" i="6"/>
  <c r="A126" i="7" s="1"/>
  <c r="D126" i="7" s="1"/>
  <c r="J26" i="6"/>
  <c r="A125" i="7" s="1"/>
  <c r="D125" i="7" s="1"/>
  <c r="N26" i="6"/>
  <c r="A127" i="7" s="1"/>
  <c r="D127" i="7" s="1"/>
  <c r="R26" i="6"/>
  <c r="A129" i="7" s="1"/>
  <c r="D129" i="7" s="1"/>
  <c r="P26" i="6"/>
  <c r="A128" i="7" s="1"/>
  <c r="D128" i="7" s="1"/>
  <c r="G26" i="6"/>
  <c r="B123" i="7" s="1"/>
  <c r="I26" i="6"/>
  <c r="B124" i="7" s="1"/>
  <c r="M25" i="6"/>
  <c r="B119" i="7" s="1"/>
  <c r="I27" i="6"/>
  <c r="B131" i="7" s="1"/>
  <c r="K27" i="6"/>
  <c r="B132" i="7" s="1"/>
  <c r="B107" i="7"/>
  <c r="B106" i="7"/>
  <c r="B113" i="7"/>
  <c r="M22" i="6"/>
  <c r="B105" i="7" s="1"/>
  <c r="K22" i="6"/>
  <c r="B104" i="7" s="1"/>
  <c r="B112" i="7"/>
  <c r="B115" i="7"/>
  <c r="A103" i="7"/>
  <c r="D103" i="7" s="1"/>
  <c r="B114" i="7"/>
  <c r="B111" i="7"/>
  <c r="B122" i="7"/>
  <c r="B118" i="7"/>
  <c r="A104" i="7"/>
  <c r="D104" i="7" s="1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S26" i="6" l="1"/>
  <c r="B129" i="7" s="1"/>
  <c r="S27" i="6"/>
  <c r="B136" i="7" s="1"/>
  <c r="K26" i="6"/>
  <c r="B125" i="7" s="1"/>
  <c r="A137" i="7"/>
  <c r="D137" i="7" s="1"/>
  <c r="L28" i="6"/>
  <c r="A140" i="7" s="1"/>
  <c r="D140" i="7" s="1"/>
  <c r="M27" i="6"/>
  <c r="B133" i="7" s="1"/>
  <c r="F32" i="6" a="1"/>
  <c r="F32" i="6" s="1"/>
  <c r="F33" i="6" s="1" a="1"/>
  <c r="F33" i="6" s="1"/>
  <c r="O27" i="6"/>
  <c r="B134" i="7" s="1"/>
  <c r="M26" i="6"/>
  <c r="B126" i="7" s="1"/>
  <c r="Q26" i="6"/>
  <c r="B128" i="7" s="1"/>
  <c r="R28" i="6"/>
  <c r="A143" i="7" s="1"/>
  <c r="D143" i="7" s="1"/>
  <c r="H28" i="6"/>
  <c r="A138" i="7" s="1"/>
  <c r="D138" i="7" s="1"/>
  <c r="J28" i="6"/>
  <c r="A139" i="7" s="1"/>
  <c r="D139" i="7" s="1"/>
  <c r="P28" i="6"/>
  <c r="A142" i="7" s="1"/>
  <c r="D142" i="7" s="1"/>
  <c r="N28" i="6"/>
  <c r="A141" i="7" s="1"/>
  <c r="D141" i="7" s="1"/>
  <c r="Q27" i="6"/>
  <c r="B135" i="7" s="1"/>
  <c r="G28" i="6"/>
  <c r="B137" i="7" s="1"/>
  <c r="O26" i="6"/>
  <c r="B127" i="7" s="1"/>
  <c r="M28" i="6"/>
  <c r="B140" i="7" s="1"/>
  <c r="O28" i="6"/>
  <c r="B141" i="7" s="1"/>
  <c r="K28" i="6"/>
  <c r="B139" i="7" s="1"/>
  <c r="B103" i="7"/>
  <c r="B19" i="7"/>
  <c r="E19" i="7" s="1"/>
  <c r="C57" i="8"/>
  <c r="C58" i="8"/>
  <c r="B20" i="7"/>
  <c r="E20" i="7" s="1"/>
  <c r="B24" i="7"/>
  <c r="E24" i="7" s="1"/>
  <c r="C62" i="8"/>
  <c r="C61" i="8"/>
  <c r="B23" i="7"/>
  <c r="E23" i="7" s="1"/>
  <c r="B22" i="7"/>
  <c r="E22" i="7" s="1"/>
  <c r="C60" i="8"/>
  <c r="C59" i="8"/>
  <c r="B21" i="7"/>
  <c r="E21" i="7" s="1"/>
  <c r="G33" i="6" l="1"/>
  <c r="B152" i="7" s="1"/>
  <c r="I28" i="6"/>
  <c r="B138" i="7" s="1"/>
  <c r="P32" i="6"/>
  <c r="Q32" i="6" s="1"/>
  <c r="B150" i="7" s="1"/>
  <c r="G32" i="6"/>
  <c r="B145" i="7" s="1"/>
  <c r="A145" i="7"/>
  <c r="D145" i="7" s="1"/>
  <c r="R32" i="6"/>
  <c r="S32" i="6" s="1"/>
  <c r="L32" i="6"/>
  <c r="M32" i="6" s="1"/>
  <c r="Q28" i="6"/>
  <c r="B142" i="7" s="1"/>
  <c r="H32" i="6"/>
  <c r="I32" i="6" s="1"/>
  <c r="S28" i="6"/>
  <c r="B143" i="7" s="1"/>
  <c r="N32" i="6"/>
  <c r="O32" i="6" s="1"/>
  <c r="J32" i="6"/>
  <c r="K32" i="6" s="1"/>
  <c r="B147" i="7" s="1"/>
  <c r="F34" i="6" a="1"/>
  <c r="F34" i="6" s="1"/>
  <c r="R33" i="6"/>
  <c r="S33" i="6" s="1"/>
  <c r="B158" i="7" s="1"/>
  <c r="L33" i="6"/>
  <c r="M33" i="6" s="1"/>
  <c r="B155" i="7" s="1"/>
  <c r="H33" i="6"/>
  <c r="A153" i="7" s="1"/>
  <c r="D153" i="7" s="1"/>
  <c r="P33" i="6"/>
  <c r="Q33" i="6" s="1"/>
  <c r="J33" i="6"/>
  <c r="K33" i="6" s="1"/>
  <c r="A152" i="7"/>
  <c r="D152" i="7" s="1"/>
  <c r="N33" i="6"/>
  <c r="O33" i="6" s="1"/>
  <c r="B156" i="7" s="1"/>
  <c r="A157" i="7"/>
  <c r="D157" i="7" s="1"/>
  <c r="A146" i="7"/>
  <c r="D146" i="7" s="1"/>
  <c r="D36" i="8" a="1"/>
  <c r="D36" i="8" s="1"/>
  <c r="A150" i="7"/>
  <c r="D150" i="7" s="1"/>
  <c r="A147" i="7" l="1"/>
  <c r="D147" i="7" s="1"/>
  <c r="A151" i="7"/>
  <c r="D151" i="7" s="1"/>
  <c r="A149" i="7"/>
  <c r="D149" i="7" s="1"/>
  <c r="A154" i="7"/>
  <c r="D154" i="7" s="1"/>
  <c r="A148" i="7"/>
  <c r="D148" i="7" s="1"/>
  <c r="A155" i="7"/>
  <c r="D155" i="7" s="1"/>
  <c r="L34" i="6"/>
  <c r="M34" i="6" s="1"/>
  <c r="B162" i="7" s="1"/>
  <c r="I33" i="6"/>
  <c r="B153" i="7" s="1"/>
  <c r="A156" i="7"/>
  <c r="D156" i="7" s="1"/>
  <c r="R34" i="6"/>
  <c r="S34" i="6" s="1"/>
  <c r="B165" i="7" s="1"/>
  <c r="H34" i="6"/>
  <c r="I34" i="6" s="1"/>
  <c r="B160" i="7" s="1"/>
  <c r="N34" i="6"/>
  <c r="O34" i="6" s="1"/>
  <c r="B163" i="7" s="1"/>
  <c r="P34" i="6"/>
  <c r="Q34" i="6" s="1"/>
  <c r="A159" i="7"/>
  <c r="D159" i="7" s="1"/>
  <c r="F36" i="6" a="1"/>
  <c r="F36" i="6" s="1"/>
  <c r="G34" i="6"/>
  <c r="B159" i="7" s="1"/>
  <c r="J34" i="6"/>
  <c r="A158" i="7"/>
  <c r="D158" i="7" s="1"/>
  <c r="A162" i="7"/>
  <c r="D162" i="7" s="1"/>
  <c r="F36" i="8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33" i="8" a="1"/>
  <c r="C33" i="8" s="1"/>
  <c r="B149" i="7"/>
  <c r="G33" i="8" a="1"/>
  <c r="G33" i="8" s="1"/>
  <c r="B151" i="7"/>
  <c r="I33" i="8" a="1"/>
  <c r="I33" i="8" s="1"/>
  <c r="B157" i="7"/>
  <c r="B154" i="7"/>
  <c r="B146" i="7"/>
  <c r="B148" i="7"/>
  <c r="A160" i="7" l="1"/>
  <c r="D160" i="7" s="1"/>
  <c r="J36" i="6"/>
  <c r="A168" i="7" s="1"/>
  <c r="D168" i="7" s="1"/>
  <c r="A163" i="7"/>
  <c r="D163" i="7" s="1"/>
  <c r="A165" i="7"/>
  <c r="D165" i="7" s="1"/>
  <c r="K34" i="6"/>
  <c r="B161" i="7" s="1"/>
  <c r="A161" i="7"/>
  <c r="D161" i="7" s="1"/>
  <c r="L36" i="6"/>
  <c r="A169" i="7" s="1"/>
  <c r="D169" i="7" s="1"/>
  <c r="A166" i="7"/>
  <c r="D166" i="7" s="1"/>
  <c r="F37" i="6" a="1"/>
  <c r="F37" i="6" s="1"/>
  <c r="P36" i="6"/>
  <c r="A171" i="7" s="1"/>
  <c r="D171" i="7" s="1"/>
  <c r="G36" i="6"/>
  <c r="B166" i="7" s="1"/>
  <c r="H36" i="6"/>
  <c r="A167" i="7" s="1"/>
  <c r="D167" i="7" s="1"/>
  <c r="N36" i="6"/>
  <c r="O36" i="6" s="1"/>
  <c r="B164" i="7"/>
  <c r="A164" i="7"/>
  <c r="D164" i="7" s="1"/>
  <c r="R36" i="6"/>
  <c r="A172" i="7" s="1"/>
  <c r="D172" i="7" s="1"/>
  <c r="K11" i="6"/>
  <c r="B27" i="7" s="1"/>
  <c r="A27" i="7"/>
  <c r="D27" i="7" s="1"/>
  <c r="K36" i="6" l="1"/>
  <c r="B168" i="7" s="1"/>
  <c r="R37" i="6"/>
  <c r="A179" i="7" s="1"/>
  <c r="D179" i="7" s="1"/>
  <c r="Q36" i="6"/>
  <c r="B171" i="7" s="1"/>
  <c r="M36" i="6"/>
  <c r="B169" i="7" s="1"/>
  <c r="A173" i="7"/>
  <c r="D173" i="7" s="1"/>
  <c r="N37" i="6"/>
  <c r="O37" i="6" s="1"/>
  <c r="B177" i="7" s="1"/>
  <c r="P37" i="6"/>
  <c r="A178" i="7" s="1"/>
  <c r="D178" i="7" s="1"/>
  <c r="L37" i="6"/>
  <c r="A176" i="7" s="1"/>
  <c r="D176" i="7" s="1"/>
  <c r="G37" i="6"/>
  <c r="B173" i="7" s="1"/>
  <c r="I36" i="6"/>
  <c r="B167" i="7" s="1"/>
  <c r="H37" i="6"/>
  <c r="A174" i="7" s="1"/>
  <c r="D174" i="7" s="1"/>
  <c r="J37" i="6"/>
  <c r="A175" i="7" s="1"/>
  <c r="D175" i="7" s="1"/>
  <c r="S36" i="6"/>
  <c r="B172" i="7" s="1"/>
  <c r="F38" i="6" a="1"/>
  <c r="F38" i="6" s="1"/>
  <c r="B170" i="7"/>
  <c r="A170" i="7"/>
  <c r="D170" i="7" s="1"/>
  <c r="A177" i="7" l="1"/>
  <c r="D177" i="7" s="1"/>
  <c r="S37" i="6"/>
  <c r="B179" i="7" s="1"/>
  <c r="R38" i="6"/>
  <c r="A186" i="7" s="1"/>
  <c r="D186" i="7" s="1"/>
  <c r="Q37" i="6"/>
  <c r="B178" i="7" s="1"/>
  <c r="I37" i="6"/>
  <c r="B174" i="7" s="1"/>
  <c r="K37" i="6"/>
  <c r="B175" i="7" s="1"/>
  <c r="M37" i="6"/>
  <c r="B176" i="7" s="1"/>
  <c r="N38" i="6"/>
  <c r="A184" i="7" s="1"/>
  <c r="D184" i="7" s="1"/>
  <c r="A180" i="7"/>
  <c r="D180" i="7" s="1"/>
  <c r="G38" i="6"/>
  <c r="B180" i="7" s="1"/>
  <c r="H38" i="6"/>
  <c r="A181" i="7" s="1"/>
  <c r="D181" i="7" s="1"/>
  <c r="B26" i="8" a="1"/>
  <c r="P38" i="6"/>
  <c r="A185" i="7" s="1"/>
  <c r="D185" i="7" s="1"/>
  <c r="L38" i="6"/>
  <c r="A183" i="7" s="1"/>
  <c r="D183" i="7" s="1"/>
  <c r="J38" i="6"/>
  <c r="A182" i="7" s="1"/>
  <c r="D182" i="7" s="1"/>
  <c r="H33" i="8" a="1"/>
  <c r="H33" i="8" s="1"/>
  <c r="S38" i="6" l="1"/>
  <c r="B186" i="7" s="1"/>
  <c r="Q38" i="6"/>
  <c r="B26" i="8"/>
  <c r="G26" i="8" s="1" a="1"/>
  <c r="G26" i="8" s="1"/>
  <c r="I32" i="8" a="1"/>
  <c r="I32" i="8" s="1"/>
  <c r="D29" i="8" a="1"/>
  <c r="D29" i="8" s="1"/>
  <c r="G31" i="8" a="1"/>
  <c r="G31" i="8" s="1"/>
  <c r="C28" i="8" a="1"/>
  <c r="C28" i="8" s="1"/>
  <c r="C31" i="8" a="1"/>
  <c r="C31" i="8" s="1"/>
  <c r="F27" i="8" a="1"/>
  <c r="F27" i="8" s="1"/>
  <c r="G30" i="8" a="1"/>
  <c r="G30" i="8" s="1"/>
  <c r="D32" i="8" a="1"/>
  <c r="D32" i="8" s="1"/>
  <c r="H31" i="8" a="1"/>
  <c r="H31" i="8" s="1"/>
  <c r="E28" i="8" a="1"/>
  <c r="E28" i="8" s="1"/>
  <c r="G29" i="8" a="1"/>
  <c r="G29" i="8" s="1"/>
  <c r="D31" i="8" a="1"/>
  <c r="D31" i="8" s="1"/>
  <c r="I29" i="8" a="1"/>
  <c r="I29" i="8" s="1"/>
  <c r="C30" i="8" a="1"/>
  <c r="C30" i="8" s="1"/>
  <c r="F31" i="8" a="1"/>
  <c r="F31" i="8" s="1"/>
  <c r="H30" i="8" a="1"/>
  <c r="H30" i="8" s="1"/>
  <c r="C27" i="8" a="1"/>
  <c r="C27" i="8" s="1"/>
  <c r="G28" i="8" a="1"/>
  <c r="G28" i="8" s="1"/>
  <c r="I30" i="8" a="1"/>
  <c r="I30" i="8" s="1"/>
  <c r="F32" i="8" a="1"/>
  <c r="F32" i="8" s="1"/>
  <c r="E30" i="8" a="1"/>
  <c r="E30" i="8" s="1"/>
  <c r="F28" i="8" a="1"/>
  <c r="F28" i="8" s="1"/>
  <c r="C29" i="8" a="1"/>
  <c r="C29" i="8" s="1"/>
  <c r="I28" i="8" a="1"/>
  <c r="I28" i="8" s="1"/>
  <c r="F30" i="8" a="1"/>
  <c r="F30" i="8" s="1"/>
  <c r="I31" i="8" a="1"/>
  <c r="I31" i="8" s="1"/>
  <c r="G27" i="8" a="1"/>
  <c r="G27" i="8" s="1"/>
  <c r="H27" i="8" a="1"/>
  <c r="H27" i="8" s="1"/>
  <c r="E31" i="8" a="1"/>
  <c r="E31" i="8" s="1"/>
  <c r="D27" i="8" a="1"/>
  <c r="D27" i="8" s="1"/>
  <c r="E32" i="8" a="1"/>
  <c r="E32" i="8" s="1"/>
  <c r="H28" i="8" a="1"/>
  <c r="H28" i="8" s="1"/>
  <c r="H32" i="8" a="1"/>
  <c r="H32" i="8" s="1"/>
  <c r="D28" i="8" a="1"/>
  <c r="D28" i="8" s="1"/>
  <c r="I27" i="8" a="1"/>
  <c r="I27" i="8" s="1"/>
  <c r="G32" i="8" a="1"/>
  <c r="G32" i="8" s="1"/>
  <c r="C32" i="8" a="1"/>
  <c r="C32" i="8" s="1"/>
  <c r="D30" i="8" a="1"/>
  <c r="D30" i="8" s="1"/>
  <c r="F29" i="8" a="1"/>
  <c r="F29" i="8" s="1"/>
  <c r="H29" i="8" a="1"/>
  <c r="H29" i="8" s="1"/>
  <c r="E27" i="8" a="1"/>
  <c r="E27" i="8" s="1"/>
  <c r="E29" i="8" a="1"/>
  <c r="E29" i="8" s="1"/>
  <c r="B185" i="7"/>
  <c r="O38" i="6"/>
  <c r="B184" i="7" s="1"/>
  <c r="I38" i="6"/>
  <c r="B181" i="7" s="1"/>
  <c r="M38" i="6"/>
  <c r="M41" i="6" s="1"/>
  <c r="B198" i="7" s="1"/>
  <c r="S41" i="6"/>
  <c r="G41" i="6"/>
  <c r="B195" i="7" s="1"/>
  <c r="I26" i="8" a="1"/>
  <c r="I26" i="8" s="1"/>
  <c r="C26" i="8" a="1"/>
  <c r="C26" i="8" s="1"/>
  <c r="E26" i="8" a="1"/>
  <c r="E26" i="8" s="1"/>
  <c r="D26" i="8" a="1"/>
  <c r="D26" i="8" s="1"/>
  <c r="H26" i="8" a="1"/>
  <c r="H26" i="8" s="1"/>
  <c r="F26" i="8" a="1"/>
  <c r="F26" i="8" s="1"/>
  <c r="K38" i="6"/>
  <c r="Q41" i="6"/>
  <c r="O41" i="6" l="1"/>
  <c r="B199" i="7" s="1"/>
  <c r="B200" i="7"/>
  <c r="I41" i="6"/>
  <c r="B196" i="7" s="1"/>
  <c r="B183" i="7"/>
  <c r="B182" i="7"/>
  <c r="K41" i="6"/>
  <c r="B197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<sst xmlns="http://schemas.openxmlformats.org/spreadsheetml/2006/main" count="203" uniqueCount="116">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</sst>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3" fillId="0" borderId="2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zoomScaleNormal="100" workbookViewId="0">
      <selection activeCell="L16" sqref="L16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2" t="s">
        <v>36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4"/>
      <c r="M1" s="38" t="s">
        <v>70</v>
      </c>
      <c r="N1" s="39" t="s">
        <v>64</v>
      </c>
      <c r="O1" s="195" t="s">
        <v>69</v>
      </c>
      <c r="P1" s="196"/>
      <c r="Q1" s="196"/>
      <c r="R1" s="196"/>
      <c r="S1" s="197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8"/>
      <c r="P2" s="199"/>
      <c r="Q2" s="199"/>
      <c r="R2" s="199"/>
      <c r="S2" s="200"/>
    </row>
    <row r="3" spans="1:19">
      <c r="A3" s="20" t="s">
        <v>49</v>
      </c>
      <c r="B3" s="208"/>
      <c r="C3" s="209"/>
      <c r="D3" s="210"/>
      <c r="H3" s="20" t="s">
        <v>59</v>
      </c>
      <c r="I3" s="215"/>
      <c r="J3" s="216"/>
      <c r="K3" s="217"/>
      <c r="M3" s="27">
        <v>2</v>
      </c>
      <c r="N3" s="73"/>
      <c r="O3" s="205"/>
      <c r="P3" s="206"/>
      <c r="Q3" s="206"/>
      <c r="R3" s="206"/>
      <c r="S3" s="207"/>
    </row>
    <row r="4" spans="1:19">
      <c r="A4" s="21" t="s">
        <v>47</v>
      </c>
      <c r="B4" s="189"/>
      <c r="C4" s="190"/>
      <c r="D4" s="191"/>
      <c r="H4" s="21" t="s">
        <v>60</v>
      </c>
      <c r="I4" s="192"/>
      <c r="J4" s="193"/>
      <c r="K4" s="194"/>
      <c r="M4" s="27">
        <v>3</v>
      </c>
      <c r="N4" s="73"/>
      <c r="O4" s="205"/>
      <c r="P4" s="206"/>
      <c r="Q4" s="206"/>
      <c r="R4" s="206"/>
      <c r="S4" s="207"/>
    </row>
    <row r="5" spans="1:19">
      <c r="A5" s="21" t="s">
        <v>48</v>
      </c>
      <c r="B5" s="211"/>
      <c r="C5" s="212"/>
      <c r="D5" s="213"/>
      <c r="H5" s="21" t="s">
        <v>61</v>
      </c>
      <c r="I5" s="214"/>
      <c r="J5" s="206"/>
      <c r="K5" s="207"/>
      <c r="M5" s="27">
        <v>4</v>
      </c>
      <c r="N5" s="73"/>
      <c r="O5" s="205"/>
      <c r="P5" s="206"/>
      <c r="Q5" s="206"/>
      <c r="R5" s="206"/>
      <c r="S5" s="207"/>
    </row>
    <row r="6" spans="1:19" ht="15.75" thickBot="1">
      <c r="A6" s="22" t="s">
        <v>7</v>
      </c>
      <c r="B6" s="168"/>
      <c r="C6" s="169"/>
      <c r="D6" s="170"/>
      <c r="H6" s="22" t="s">
        <v>62</v>
      </c>
      <c r="I6" s="171"/>
      <c r="J6" s="172"/>
      <c r="K6" s="173"/>
      <c r="M6" s="28">
        <v>5</v>
      </c>
      <c r="N6" s="74"/>
      <c r="O6" s="201"/>
      <c r="P6" s="172"/>
      <c r="Q6" s="172"/>
      <c r="R6" s="172"/>
      <c r="S6" s="173"/>
    </row>
    <row r="7" spans="1:19" s="50" customFormat="1" ht="2.1" hidden="1" customHeight="1" thickBot="1"/>
    <row r="8" spans="1:19" ht="15.75" customHeight="1" thickBot="1">
      <c r="A8" s="174" t="s">
        <v>1</v>
      </c>
      <c r="B8" s="175"/>
      <c r="C8" s="175"/>
      <c r="D8" s="176"/>
      <c r="F8" s="180" t="s">
        <v>73</v>
      </c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6"/>
    </row>
    <row r="9" spans="1:19" ht="15.75" thickBot="1">
      <c r="A9" s="177"/>
      <c r="B9" s="178"/>
      <c r="C9" s="178"/>
      <c r="D9" s="179"/>
      <c r="F9" s="226" t="s">
        <v>28</v>
      </c>
      <c r="G9" s="227"/>
      <c r="H9" s="240" t="s">
        <v>29</v>
      </c>
      <c r="I9" s="241"/>
      <c r="J9" s="224" t="s">
        <v>16</v>
      </c>
      <c r="K9" s="225"/>
      <c r="L9" s="187" t="s">
        <v>19</v>
      </c>
      <c r="M9" s="188"/>
      <c r="N9" s="184" t="s">
        <v>80</v>
      </c>
      <c r="O9" s="185"/>
      <c r="P9" s="182" t="s">
        <v>68</v>
      </c>
      <c r="Q9" s="183"/>
      <c r="R9" s="184" t="s">
        <v>18</v>
      </c>
      <c r="S9" s="185"/>
    </row>
    <row r="10" spans="1:19" ht="15.75" thickBot="1">
      <c r="A10" s="231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232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+SUMIFS(Cant!$I$2:$I$99,Cant!$M$2:$M$99,F11,Cant!$J$2:$J$99,"43/0.8")+SUMIFS(Cant!$I$2:$I$99,Cant!$M$2:$M$99,F11,Cant!$J$2:$J$99,"42/1.0")&gt;0),SUMIFS(Cant!$I$2:$I$99,Cant!$M$2:$M$99,N11,Cant!$J$2:$J$99,"43/1.0")+SUMIFS(Cant!$I$2:$I$99,Cant!$M$2:$M$99,N11,Cant!$J$2:$J$99,"43/0.8")++SUMIFS(Cant!$I$2:$I$99,Cant!$M$2:$M$99,F11,Cant!$J$2:$J$99,"42/1.0"),""),"")</f>
        <v/>
      </c>
      <c r="P11" s="56" t="str">
        <f>CONCATENATE(F11)</f>
        <v/>
      </c>
      <c r="Q11" s="29" t="str">
        <f>IFERROR(IF(AND(P11&lt;&gt;"",SUMIFS(Cant!$I$2:$I$99,Cant!$M$2:$M$99,P11,Cant!$J$2:$J$99,"43/1.5")+SUMIFS(Cant!$I$2:$I$99,Cant!$M$2:$M$99,P11,Cant!$J$2:$J$99,"24/1.5")&gt;0),SUMIFS(Cant!$I$2:$I$99,Cant!$M$2:$M$99,P11,Cant!$J$2:$J$99,"43/1.5")+SUMIFS(Cant!$I$2:$I$99,Cant!$M$2:$M$99,P11,Cant!$J$2:$J$99,"24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32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+SUMIFS(Cant!$I$2:$I$99,Cant!$M$2:$M$99,N12,Cant!$J$2:$J$99,"43/0.8")+SUMIFS(Cant!$I$2:$I$99,Cant!$M$2:$M$99,N12,Cant!$J$2:$J$99,"42/1.0")&gt;0),SUMIFS(Cant!$I$2:$I$99,Cant!$M$2:$M$99,N12,Cant!$J$2:$J$99,"43/1.0")+SUMIFS(Cant!$I$2:$I$99,Cant!$M$2:$M$99,N12,Cant!$J$2:$J$99,"43/0.8")+SUMIFS(Cant!$I$2:$I$99,Cant!$M$2:$M$99,N12,Cant!$J$2:$J$99,"42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+SUMIFS(Cant!$I$2:$I$99,Cant!$M$2:$M$99,P12,Cant!$J$2:$J$99,"24/1.5")&gt;0),SUMIFS(Cant!$I$2:$I$99,Cant!$M$2:$M$99,P12,Cant!$J$2:$J$99,"43/1.5")+SUMIFS(Cant!$I$2:$I$99,Cant!$M$2:$M$99,P12,Cant!$J$2:$J$99,"24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32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+SUMIFS(Cant!$I$2:$I$99,Cant!$M$2:$M$99,N13,Cant!$J$2:$J$99,"43/0.8")+SUMIFS(Cant!$I$2:$I$99,Cant!$M$2:$M$99,N13,Cant!$J$2:$J$99,"42/1.0")&gt;0),SUMIFS(Cant!$I$2:$I$99,Cant!$M$2:$M$99,N13,Cant!$J$2:$J$99,"43/1.0")+SUMIFS(Cant!$I$2:$I$99,Cant!$M$2:$M$99,N13,Cant!$J$2:$J$99,"43/0.8")+SUMIFS(Cant!$I$2:$I$99,Cant!$M$2:$M$99,N13,Cant!$J$2:$J$99,"42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+SUMIFS(Cant!$I$2:$I$99,Cant!$M$2:$M$99,P13,Cant!$J$2:$J$99,"24/1.5")&gt;0),SUMIFS(Cant!$I$2:$I$99,Cant!$M$2:$M$99,P13,Cant!$J$2:$J$99,"43/1.5")+SUMIFS(Cant!$I$2:$I$99,Cant!$M$2:$M$99,P13,Cant!$J$2:$J$99,"24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32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+SUMIFS(Cant!$I$2:$I$99,Cant!$M$2:$M$99,N14,Cant!$J$2:$J$99,"43/0.8")+SUMIFS(Cant!$I$2:$I$99,Cant!$M$2:$M$99,N14,Cant!$J$2:$J$99,"42/1.0")&gt;0),SUMIFS(Cant!$I$2:$I$99,Cant!$M$2:$M$99,N14,Cant!$J$2:$J$99,"43/1.0")+SUMIFS(Cant!$I$2:$I$99,Cant!$M$2:$M$99,N14,Cant!$J$2:$J$99,"43/0.8")+SUMIFS(Cant!$I$2:$I$99,Cant!$M$2:$M$99,N14,Cant!$J$2:$J$99,"42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+SUMIFS(Cant!$I$2:$I$99,Cant!$M$2:$M$99,P14,Cant!$J$2:$J$99,"24/1.5")&gt;0),SUMIFS(Cant!$I$2:$I$99,Cant!$M$2:$M$99,P14,Cant!$J$2:$J$99,"43/1.5")+SUMIFS(Cant!$I$2:$I$99,Cant!$M$2:$M$99,P14,Cant!$J$2:$J$99,"24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32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+SUMIFS(Cant!$I$2:$I$99,Cant!$M$2:$M$99,N15,Cant!$J$2:$J$99,"43/0.8")+SUMIFS(Cant!$I$2:$I$99,Cant!$M$2:$M$99,N15,Cant!$J$2:$J$99,"42/1.0")&gt;0),SUMIFS(Cant!$I$2:$I$99,Cant!$M$2:$M$99,N15,Cant!$J$2:$J$99,"43/1.0")+SUMIFS(Cant!$I$2:$I$99,Cant!$M$2:$M$99,N15,Cant!$J$2:$J$99,"43/0.8")+SUMIFS(Cant!$I$2:$I$99,Cant!$M$2:$M$99,N15,Cant!$J$2:$J$99,"42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+SUMIFS(Cant!$I$2:$I$99,Cant!$M$2:$M$99,P15,Cant!$J$2:$J$99,"24/1.5")&gt;0),SUMIFS(Cant!$I$2:$I$99,Cant!$M$2:$M$99,P15,Cant!$J$2:$J$99,"43/1.5")+SUMIFS(Cant!$I$2:$I$99,Cant!$M$2:$M$99,P15,Cant!$J$2:$J$99,"24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32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+SUMIFS(Cant!$I$2:$I$99,Cant!$M$2:$M$99,N16,Cant!$J$2:$J$99,"43/0.8")+SUMIFS(Cant!$I$2:$I$99,Cant!$M$2:$M$99,N16,Cant!$J$2:$J$99,"42/1.0")&gt;0),SUMIFS(Cant!$I$2:$I$99,Cant!$M$2:$M$99,N16,Cant!$J$2:$J$99,"43/1.0")+SUMIFS(Cant!$I$2:$I$99,Cant!$M$2:$M$99,N16,Cant!$J$2:$J$99,"43/0.8")+SUMIFS(Cant!$I$2:$I$99,Cant!$M$2:$M$99,N16,Cant!$J$2:$J$99,"42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+SUMIFS(Cant!$I$2:$I$99,Cant!$M$2:$M$99,P16,Cant!$J$2:$J$99,"24/1.5")&gt;0),SUMIFS(Cant!$I$2:$I$99,Cant!$M$2:$M$99,P16,Cant!$J$2:$J$99,"43/1.5")+SUMIFS(Cant!$I$2:$I$99,Cant!$M$2:$M$99,P16,Cant!$J$2:$J$99,"24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32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+SUMIFS(Cant!$I$2:$I$99,Cant!$M$2:$M$99,N17,Cant!$J$2:$J$99,"43/0.8")+SUMIFS(Cant!$I$2:$I$99,Cant!$M$2:$M$99,N17,Cant!$J$2:$J$99,"42/1.0")&gt;0),SUMIFS(Cant!$I$2:$I$99,Cant!$M$2:$M$99,N17,Cant!$J$2:$J$99,"43/1.0")+SUMIFS(Cant!$I$2:$I$99,Cant!$M$2:$M$99,N17,Cant!$J$2:$J$99,"43/0.8")+SUMIFS(Cant!$I$2:$I$99,Cant!$M$2:$M$99,N17,Cant!$J$2:$J$99,"42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+SUMIFS(Cant!$I$2:$I$99,Cant!$M$2:$M$99,P17,Cant!$J$2:$J$99,"24/1.5")&gt;0),SUMIFS(Cant!$I$2:$I$99,Cant!$M$2:$M$99,P17,Cant!$J$2:$J$99,"43/1.5")+SUMIFS(Cant!$I$2:$I$99,Cant!$M$2:$M$99,P17,Cant!$J$2:$J$99,"24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32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+SUMIFS(Cant!$I$2:$I$99,Cant!$M$2:$M$99,N18,Cant!$J$2:$J$99,"43/0.8")+SUMIFS(Cant!$I$2:$I$99,Cant!$M$2:$M$99,N18,Cant!$J$2:$J$99,"42/1.0")&gt;0),SUMIFS(Cant!$I$2:$I$99,Cant!$M$2:$M$99,N18,Cant!$J$2:$J$99,"43/1.0")+SUMIFS(Cant!$I$2:$I$99,Cant!$M$2:$M$99,N18,Cant!$J$2:$J$99,"43/0.8")+SUMIFS(Cant!$I$2:$I$99,Cant!$M$2:$M$99,N18,Cant!$J$2:$J$99,"42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+SUMIFS(Cant!$I$2:$I$99,Cant!$M$2:$M$99,P18,Cant!$J$2:$J$99,"24/1.5")&gt;0),SUMIFS(Cant!$I$2:$I$99,Cant!$M$2:$M$99,P18,Cant!$J$2:$J$99,"43/1.5")+SUMIFS(Cant!$I$2:$I$99,Cant!$M$2:$M$99,P18,Cant!$J$2:$J$99,"24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32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+SUMIFS(Cant!$I$2:$I$99,Cant!$M$2:$M$99,N19,Cant!$J$2:$J$99,"43/0.8")+SUMIFS(Cant!$I$2:$I$99,Cant!$M$2:$M$99,N19,Cant!$J$2:$J$99,"42/1.0")&gt;0),SUMIFS(Cant!$I$2:$I$99,Cant!$M$2:$M$99,N19,Cant!$J$2:$J$99,"43/1.0")+SUMIFS(Cant!$I$2:$I$99,Cant!$M$2:$M$99,N19,Cant!$J$2:$J$99,"43/0.8")+SUMIFS(Cant!$I$2:$I$99,Cant!$M$2:$M$99,N19,Cant!$J$2:$J$99,"42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+SUMIFS(Cant!$I$2:$I$99,Cant!$M$2:$M$99,P19,Cant!$J$2:$J$99,"24/1.5")&gt;0),SUMIFS(Cant!$I$2:$I$99,Cant!$M$2:$M$99,P19,Cant!$J$2:$J$99,"43/1.5")+SUMIFS(Cant!$I$2:$I$99,Cant!$M$2:$M$99,P19,Cant!$J$2:$J$99,"24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32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+SUMIFS(Cant!$I$2:$I$99,Cant!$M$2:$M$99,N20,Cant!$J$2:$J$99,"43/0.8")+SUMIFS(Cant!$I$2:$I$99,Cant!$M$2:$M$99,N20,Cant!$J$2:$J$99,"42/1.0")&gt;0),SUMIFS(Cant!$I$2:$I$99,Cant!$M$2:$M$99,N20,Cant!$J$2:$J$99,"43/1.0")+SUMIFS(Cant!$I$2:$I$99,Cant!$M$2:$M$99,N20,Cant!$J$2:$J$99,"43/0.8")+SUMIFS(Cant!$I$2:$I$99,Cant!$M$2:$M$99,N20,Cant!$J$2:$J$99,"42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+SUMIFS(Cant!$I$2:$I$99,Cant!$M$2:$M$99,P20,Cant!$J$2:$J$99,"24/1.5")&gt;0),SUMIFS(Cant!$I$2:$I$99,Cant!$M$2:$M$99,P20,Cant!$J$2:$J$99,"43/1.5")+SUMIFS(Cant!$I$2:$I$99,Cant!$M$2:$M$99,P20,Cant!$J$2:$J$99,"24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32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+SUMIFS(Cant!$I$2:$I$99,Cant!$M$2:$M$99,N21,Cant!$J$2:$J$99,"43/0.8")+SUMIFS(Cant!$I$2:$I$99,Cant!$M$2:$M$99,N21,Cant!$J$2:$J$99,"42/1.0")&gt;0),SUMIFS(Cant!$I$2:$I$99,Cant!$M$2:$M$99,N21,Cant!$J$2:$J$99,"43/1.0")+SUMIFS(Cant!$I$2:$I$99,Cant!$M$2:$M$99,N21,Cant!$J$2:$J$99,"43/0.8")+SUMIFS(Cant!$I$2:$I$99,Cant!$M$2:$M$99,N21,Cant!$J$2:$J$99,"42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+SUMIFS(Cant!$I$2:$I$99,Cant!$M$2:$M$99,P21,Cant!$J$2:$J$99,"24/1.5")&gt;0),SUMIFS(Cant!$I$2:$I$99,Cant!$M$2:$M$99,P21,Cant!$J$2:$J$99,"43/1.5")+SUMIFS(Cant!$I$2:$I$99,Cant!$M$2:$M$99,P21,Cant!$J$2:$J$99,"24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33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+SUMIFS(Cant!$I$2:$I$99,Cant!$M$2:$M$99,N22,Cant!$J$2:$J$99,"43/0.8")+SUMIFS(Cant!$I$2:$I$99,Cant!$M$2:$M$99,N22,Cant!$J$2:$J$99,"42/1.0")&gt;0),SUMIFS(Cant!$I$2:$I$99,Cant!$M$2:$M$99,N22,Cant!$J$2:$J$99,"43/1.0")+SUMIFS(Cant!$I$2:$I$99,Cant!$M$2:$M$99,N22,Cant!$J$2:$J$99,"43/0.8")+SUMIFS(Cant!$I$2:$I$99,Cant!$M$2:$M$99,N22,Cant!$J$2:$J$99,"42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+SUMIFS(Cant!$I$2:$I$99,Cant!$M$2:$M$99,P22,Cant!$J$2:$J$99,"24/1.5")&gt;0),SUMIFS(Cant!$I$2:$I$99,Cant!$M$2:$M$99,P22,Cant!$J$2:$J$99,"43/1.5")+SUMIFS(Cant!$I$2:$I$99,Cant!$M$2:$M$99,P22,Cant!$J$2:$J$99,"24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31" t="s">
        <v>10</v>
      </c>
      <c r="B24" s="56" t="str" cm="1">
        <f t="array" ref="B24">IFERROR(_xlfn.SINGLE(INDEX(Deco!$Y$2:$Y$99,_xlfn.AGGREGATE(15,6,ROW(Deco!$Y$2:$Y$99)-ROW(Deco!$Y$2)+1/(Deco!$W$2:$W$99="MDF"),1))),"")</f>
        <v/>
      </c>
      <c r="C24" s="58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+SUMIFS(Cant!$I$2:$I$99,Cant!$M$2:$M$99,N24,Cant!$J$2:$J$99,"43/0.8")+SUMIFS(Cant!$I$2:$I$99,Cant!$M$2:$M$99,N24,Cant!$J$2:$J$99,"42/1.0")&gt;0),SUMIFS(Cant!$I$2:$I$99,Cant!$M$2:$M$99,N24,Cant!$J$2:$J$99,"43/1.0")+SUMIFS(Cant!$I$2:$I$99,Cant!$M$2:$M$99,N24,Cant!$J$2:$J$99,"43/0.8")+SUMIFS(Cant!$I$2:$I$99,Cant!$M$2:$M$99,N24,Cant!$J$2:$J$99,"42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+SUMIFS(Cant!$I$2:$I$99,Cant!$M$2:$M$99,P24,Cant!$J$2:$J$99,"24/1.5")&gt;0),SUMIFS(Cant!$I$2:$I$99,Cant!$M$2:$M$99,P24,Cant!$J$2:$J$99,"43/1.5")+SUMIFS(Cant!$I$2:$I$99,Cant!$M$2:$M$99,P24,Cant!$J$2:$J$99,"24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32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+SUMIFS(Cant!$I$2:$I$99,Cant!$M$2:$M$99,N25,Cant!$J$2:$J$99,"43/0.8")+SUMIFS(Cant!$I$2:$I$99,Cant!$M$2:$M$99,N25,Cant!$J$2:$J$99,"42/1.0")&gt;0),SUMIFS(Cant!$I$2:$I$99,Cant!$M$2:$M$99,N25,Cant!$J$2:$J$99,"43/1.0")+SUMIFS(Cant!$I$2:$I$99,Cant!$M$2:$M$99,N25,Cant!$J$2:$J$99,"43/0.8")+SUMIFS(Cant!$I$2:$I$99,Cant!$M$2:$M$99,N25,Cant!$J$2:$J$99,"42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+SUMIFS(Cant!$I$2:$I$99,Cant!$M$2:$M$99,P25,Cant!$J$2:$J$99,"24/1.5")&gt;0),SUMIFS(Cant!$I$2:$I$99,Cant!$M$2:$M$99,P25,Cant!$J$2:$J$99,"43/1.5")+SUMIFS(Cant!$I$2:$I$99,Cant!$M$2:$M$99,P25,Cant!$J$2:$J$99,"24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32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+SUMIFS(Cant!$I$2:$I$99,Cant!$M$2:$M$99,N26,Cant!$J$2:$J$99,"43/0.8")+SUMIFS(Cant!$I$2:$I$99,Cant!$M$2:$M$99,N26,Cant!$J$2:$J$99,"42/1.0")&gt;0),SUMIFS(Cant!$I$2:$I$99,Cant!$M$2:$M$99,N26,Cant!$J$2:$J$99,"43/1.0")+SUMIFS(Cant!$I$2:$I$99,Cant!$M$2:$M$99,N26,Cant!$J$2:$J$99,"43/0.8")+SUMIFS(Cant!$I$2:$I$99,Cant!$M$2:$M$99,N26,Cant!$J$2:$J$99,"42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+SUMIFS(Cant!$I$2:$I$99,Cant!$M$2:$M$99,P26,Cant!$J$2:$J$99,"24/1.5")&gt;0),SUMIFS(Cant!$I$2:$I$99,Cant!$M$2:$M$99,P26,Cant!$J$2:$J$99,"43/1.5")+SUMIFS(Cant!$I$2:$I$99,Cant!$M$2:$M$99,P26,Cant!$J$2:$J$99,"24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32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+SUMIFS(Cant!$I$2:$I$99,Cant!$M$2:$M$99,N27,Cant!$J$2:$J$99,"43/0.8")+SUMIFS(Cant!$I$2:$I$99,Cant!$M$2:$M$99,N27,Cant!$J$2:$J$99,"42/1.0")&gt;0),SUMIFS(Cant!$I$2:$I$99,Cant!$M$2:$M$99,N27,Cant!$J$2:$J$99,"43/1.0")+SUMIFS(Cant!$I$2:$I$99,Cant!$M$2:$M$99,N27,Cant!$J$2:$J$99,"43/0.8")+SUMIFS(Cant!$I$2:$I$99,Cant!$M$2:$M$99,N27,Cant!$J$2:$J$99,"42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+SUMIFS(Cant!$I$2:$I$99,Cant!$M$2:$M$99,P27,Cant!$J$2:$J$99,"24/1.5")&gt;0),SUMIFS(Cant!$I$2:$I$99,Cant!$M$2:$M$99,P27,Cant!$J$2:$J$99,"43/1.5")+SUMIFS(Cant!$I$2:$I$99,Cant!$M$2:$M$99,P27,Cant!$J$2:$J$99,"24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34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+SUMIFS(Cant!$I$2:$I$99,Cant!$M$2:$M$99,N28,Cant!$J$2:$J$99,"43/0.8")+SUMIFS(Cant!$I$2:$I$99,Cant!$M$2:$M$99,N28,Cant!$J$2:$J$99,"42/1.0")&gt;0),SUMIFS(Cant!$I$2:$I$99,Cant!$M$2:$M$99,N28,Cant!$J$2:$J$99,"43/1.0")+SUMIFS(Cant!$I$2:$I$99,Cant!$M$2:$M$99,N28,Cant!$J$2:$J$99,"43/0.8")+SUMIFS(Cant!$I$2:$I$99,Cant!$M$2:$M$99,N28,Cant!$J$2:$J$99,"42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+SUMIFS(Cant!$I$2:$I$99,Cant!$M$2:$M$99,P28,Cant!$J$2:$J$99,"24/1.5")&gt;0),SUMIFS(Cant!$I$2:$I$99,Cant!$M$2:$M$99,P28,Cant!$J$2:$J$99,"43/1.5")+SUMIFS(Cant!$I$2:$I$99,Cant!$M$2:$M$99,P28,Cant!$J$2:$J$99,"24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1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221" t="s">
        <v>78</v>
      </c>
      <c r="B32" s="56" t="str" cm="1">
        <f t="array" ref="B32">IFERROR(_xlfn.SINGLE(INDEX(Deco!$Y$2:$Y$99,_xlfn.AGGREGATE(15,6,ROW(Deco!$Y$2:$Y$99)-ROW(Deco!$Y$2)+1/((Deco!$W$2:$W$99="Blat")+(Deco!$W$2:$W$99="LC")),1))),"")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+SUMIFS(Cant!$I$2:$I$99,Cant!$M$2:$M$99,N32,Cant!$J$2:$J$99,"43/0.8")+SUMIFS(Cant!$I$2:$I$99,Cant!$M$2:$M$99,N32,Cant!$J$2:$J$99,"42/1.0")&gt;0),SUMIFS(Cant!$I$2:$I$100,Cant!$M$2:$M$100,N32,Cant!$J$2:$J$100,"43/1.0")+SUMIFS(Cant!$I$2:$I$99,Cant!$M$2:$M$99,N32,Cant!$J$2:$J$99,"43/0.8")+SUMIFS(Cant!$I$2:$I$99,Cant!$M$2:$M$99,N32,Cant!$J$2:$J$99,"42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+SUMIFS(Cant!$I$2:$I$100,Cant!$M$2:$M$100,P32,Cant!$J$2:$J$100,"24/1.5")&gt;0),SUMIFS(Cant!$I$2:$I$100,Cant!$M$2:$M$100,P32,Cant!$J$2:$J$100,"43/1.5")+SUMIFS(Cant!$I$2:$I$100,Cant!$M$2:$M$100,P32,Cant!$J$2:$J$100,"24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22"/>
      <c r="B33" s="67" t="str" cm="1">
        <f t="array" ref="B33">IFERROR(_xlfn.SINGLE(INDEX(Deco!$Y$2:$Y$99,_xlfn.AGGREGATE(15,6,ROW(Deco!$Y$2:$Y$99)-ROW(Deco!$Y$2)+1/((Deco!$W$2:$W$99="Blat")+(Deco!$W$2:$W$99="LC")),2))),"")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+SUMIFS(Cant!$I$2:$I$99,Cant!$M$2:$M$99,N33,Cant!$J$2:$J$99,"43/0.8")+SUMIFS(Cant!$I$2:$I$99,Cant!$M$2:$M$99,N33,Cant!$J$2:$J$99,"42/1.0")&gt;0),SUMIFS(Cant!$I$2:$I$100,Cant!$M$2:$M$100,N33,Cant!$J$2:$J$100,"43/1.0")+SUMIFS(Cant!$I$2:$I$99,Cant!$M$2:$M$99,N33,Cant!$J$2:$J$99,"43/0.8")+SUMIFS(Cant!$I$2:$I$99,Cant!$M$2:$M$99,N33,Cant!$J$2:$J$99,"42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+SUMIFS(Cant!$I$2:$I$100,Cant!$M$2:$M$100,P33,Cant!$J$2:$J$100,"24/1.5")&gt;0),SUMIFS(Cant!$I$2:$I$100,Cant!$M$2:$M$100,P33,Cant!$J$2:$J$100,"43/1.5")+SUMIFS(Cant!$I$2:$I$100,Cant!$M$2:$M$100,P33,Cant!$J$2:$J$100,"24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23"/>
      <c r="B34" s="67" t="str" cm="1">
        <f t="array" ref="B34">IFERROR(_xlfn.SINGLE(INDEX(Deco!$Y$2:$Y$99,_xlfn.AGGREGATE(15,6,ROW(Deco!$Y$2:$Y$99)-ROW(Deco!$Y$2)+1/((Deco!$W$2:$W$99="Blat")+(Deco!$W$2:$W$99="LC")),3))),"")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+SUMIFS(Cant!$I$2:$I$99,Cant!$M$2:$M$99,N34,Cant!$J$2:$J$99,"43/0.8")+SUMIFS(Cant!$I$2:$I$99,Cant!$M$2:$M$99,N34,Cant!$J$2:$J$99,"42/1.0")&gt;0),SUMIFS(Cant!$I$2:$I$100,Cant!$M$2:$M$100,N34,Cant!$J$2:$J$100,"43/1.0")+SUMIFS(Cant!$I$2:$I$99,Cant!$M$2:$M$99,N34,Cant!$J$2:$J$99,"43/0.8")+SUMIFS(Cant!$I$2:$I$99,Cant!$M$2:$M$99,N34,Cant!$J$2:$J$99,"42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+SUMIFS(Cant!$I$2:$I$100,Cant!$M$2:$M$100,P34,Cant!$J$2:$J$100,"24/1.5")&gt;0),SUMIFS(Cant!$I$2:$I$100,Cant!$M$2:$M$100,P34,Cant!$J$2:$J$100,"43/1.5")+SUMIFS(Cant!$I$2:$I$100,Cant!$M$2:$M$100,P34,Cant!$J$2:$J$100,"24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14.25" hidden="1" customHeight="1" thickBo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221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+SUMIFS(Cant!$I$2:$I$99,Cant!$M$2:$M$99,N36,Cant!$J$2:$J$99,"43/0.8")+SUMIFS(Cant!$I$2:$I$99,Cant!$M$2:$M$99,N36,Cant!$J$2:$J$99,"42/1.0")&gt;0),SUMIFS(Cant!$I$2:$I$100,Cant!$M$2:$M$100,N36,Cant!$J$2:$J$100,"43/1.0")+SUMIFS(Cant!$I$2:$I$99,Cant!$M$2:$M$99,N36,Cant!$J$2:$J$99,"43/0.8")+SUMIFS(Cant!$I$2:$I$99,Cant!$M$2:$M$99,N36,Cant!$J$2:$J$99,"42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+SUMIFS(Cant!$I$2:$I$100,Cant!$M$2:$M$100,P36,Cant!$J$2:$J$100,"24/1.5")&gt;0),SUMIFS(Cant!$I$2:$I$100,Cant!$M$2:$M$100,P36,Cant!$J$2:$J$100,"43/1.5")+SUMIFS(Cant!$I$2:$I$100,Cant!$M$2:$M$100,P36,Cant!$J$2:$J$100,"24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22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+SUMIFS(Cant!$I$2:$I$99,Cant!$M$2:$M$99,N37,Cant!$J$2:$J$99,"43/0.8")+SUMIFS(Cant!$I$2:$I$99,Cant!$M$2:$M$99,N37,Cant!$J$2:$J$99,"42/1.0")&gt;0),SUMIFS(Cant!$I$2:$I$100,Cant!$M$2:$M$100,N37,Cant!$J$2:$J$100,"43/1.0")+SUMIFS(Cant!$I$2:$I$99,Cant!$M$2:$M$99,N37,Cant!$J$2:$J$99,"43/0.8")+SUMIFS(Cant!$I$2:$I$99,Cant!$M$2:$M$99,N37,Cant!$J$2:$J$99,"42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+SUMIFS(Cant!$I$2:$I$100,Cant!$M$2:$M$100,P37,Cant!$J$2:$J$100,"24/1.5")&gt;0),SUMIFS(Cant!$I$2:$I$100,Cant!$M$2:$M$100,P37,Cant!$J$2:$J$100,"43/1.5")+SUMIFS(Cant!$I$2:$I$100,Cant!$M$2:$M$100,P37,Cant!$J$2:$J$100,"24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23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+SUMIFS(Cant!$I$2:$I$99,Cant!$M$2:$M$99,N38,Cant!$J$2:$J$99,"43/0.8")+SUMIFS(Cant!$I$2:$I$99,Cant!$M$2:$M$99,N38,Cant!$J$2:$J$99,"42/1.0")&gt;0),SUMIFS(Cant!$I$2:$I$100,Cant!$M$2:$M$100,N38,Cant!$J$2:$J$100,"43/1.0")+SUMIFS(Cant!$I$2:$I$99,Cant!$M$2:$M$99,N38,Cant!$J$2:$J$99,"43/0.8")+SUMIFS(Cant!$I$2:$I$99,Cant!$M$2:$M$99,N38,Cant!$J$2:$J$99,"42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+SUMIFS(Cant!$I$2:$I$100,Cant!$M$2:$M$100,P38,Cant!$J$2:$J$100,"24/1.5")&gt;0),SUMIFS(Cant!$I$2:$I$100,Cant!$M$2:$M$100,P38,Cant!$J$2:$J$100,"43/1.5")+SUMIFS(Cant!$I$2:$I$100,Cant!$M$2:$M$100,P38,Cant!$J$2:$J$100,"24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231" t="s">
        <v>50</v>
      </c>
      <c r="B40" s="32" t="s">
        <v>67</v>
      </c>
      <c r="C40" s="32" t="s">
        <v>71</v>
      </c>
      <c r="D40" s="18" t="s">
        <v>51</v>
      </c>
      <c r="F40" s="228" t="s">
        <v>72</v>
      </c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30"/>
    </row>
    <row r="41" spans="1:19" ht="15.75" thickBot="1">
      <c r="A41" s="232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232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62">
        <f>IF(COUNTIF(Deco!AA2:AA34,"Vezi EK")&gt;0,0,1)</f>
        <v>1</v>
      </c>
    </row>
    <row r="43" spans="1:19" ht="15.75" thickBot="1">
      <c r="A43" s="232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180" t="str">
        <f>IF(COUNTIF(Deco!AA2:AA34,"Vezi EK")&gt;0,"Atentie! Verifica EK dublaje","Nr. Piese Dublaje")</f>
        <v>Nr. Piese Dublaje</v>
      </c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235"/>
    </row>
    <row r="44" spans="1:19">
      <c r="A44" s="232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32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32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232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62" t="s">
        <v>34</v>
      </c>
      <c r="G47" s="166" t="str">
        <f>IF(I6="PLAN M",SUM(C11:C28), "N/A")</f>
        <v>N/A</v>
      </c>
      <c r="J47" s="162" t="s">
        <v>86</v>
      </c>
      <c r="K47" s="164">
        <v>1</v>
      </c>
      <c r="N47" s="162" t="s">
        <v>108</v>
      </c>
      <c r="O47" s="236"/>
      <c r="P47" s="237"/>
      <c r="R47" s="162" t="s">
        <v>114</v>
      </c>
      <c r="S47" s="162"/>
    </row>
    <row r="48" spans="1:19" ht="15.75" thickBot="1">
      <c r="A48" s="234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63"/>
      <c r="G48" s="167"/>
      <c r="J48" s="163"/>
      <c r="K48" s="165"/>
      <c r="N48" s="235"/>
      <c r="O48" s="238"/>
      <c r="P48" s="239"/>
      <c r="R48" s="235"/>
      <c r="S48" s="163"/>
    </row>
    <row r="49" spans="1:19" ht="2.1" hidden="1" customHeight="1">
      <c r="A49" s="40"/>
      <c r="B49" s="41"/>
      <c r="C49" s="1"/>
      <c r="D49" s="2"/>
    </row>
    <row r="50" spans="1:19">
      <c r="A50" s="218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219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219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219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219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219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219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219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219"/>
      <c r="B58" s="140"/>
      <c r="S58" s="141"/>
    </row>
    <row r="59" spans="1:19">
      <c r="A59" s="219"/>
      <c r="B59" s="140"/>
      <c r="S59" s="141"/>
    </row>
    <row r="60" spans="1:19">
      <c r="A60" s="219"/>
      <c r="B60" s="140"/>
      <c r="S60" s="141"/>
    </row>
    <row r="61" spans="1:19">
      <c r="A61" s="219"/>
      <c r="B61" s="140"/>
      <c r="S61" s="141"/>
    </row>
    <row r="62" spans="1:19">
      <c r="A62" s="219"/>
      <c r="B62" s="140"/>
      <c r="S62" s="141"/>
    </row>
    <row r="63" spans="1:19">
      <c r="A63" s="219"/>
      <c r="B63" s="140"/>
      <c r="S63" s="141"/>
    </row>
    <row r="64" spans="1:19">
      <c r="A64" s="219"/>
      <c r="B64" s="140"/>
      <c r="S64" s="141"/>
    </row>
    <row r="65" spans="1:19">
      <c r="A65" s="219"/>
      <c r="B65" s="140"/>
      <c r="S65" s="141"/>
    </row>
    <row r="66" spans="1:19">
      <c r="A66" s="219"/>
      <c r="B66" s="140"/>
      <c r="S66" s="141"/>
    </row>
    <row r="67" spans="1:19">
      <c r="A67" s="219"/>
      <c r="B67" s="140"/>
      <c r="S67" s="141"/>
    </row>
    <row r="68" spans="1:19" ht="15.75" thickBot="1">
      <c r="A68" s="220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workbookViewId="0">
      <selection activeCell="A87" sqref="A87"/>
    </sheetView>
  </sheetViews>
  <sheetFormatPr defaultRowHeight="15"/>
  <cols>
    <col min="1" max="1" width="21" bestFit="1" customWidth="1"/>
    <col min="4" max="4" width="18.7109375" bestFit="1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IF(OR(RIGHT(Fisa!B11,1)={"0","1","2","3","4","5","6","7","8","9"},RIGHT(Fisa!B11,2)="SM",RIGHT(Fisa!B11,2)="PM",RIGHT(Fisa!B11,2)="PG",RIGHT(Fisa!B11,2)="mm",,RIGHT(Fisa!B11,2)="PG",RIGHT(Fisa!B11,2)="3D"),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IF(OR(RIGHT(Fisa!B12,1)={"0","1","2","3","4","5","6","7","8","9"},RIGHT(Fisa!B12,2)="SM",RIGHT(Fisa!B12,2)="PM",RIGHT(Fisa!B12,2)="PG",RIGHT(Fisa!B12,2)="mm",,RIGHT(Fisa!B12,2)="PG",RIGHT(Fisa!B12,2)="3D"),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IF(OR(RIGHT(Fisa!B13,1)={"0","1","2","3","4","5","6","7","8","9"},RIGHT(Fisa!B13,2)="SM",RIGHT(Fisa!B13,2)="PM",RIGHT(Fisa!B13,2)="PG",RIGHT(Fisa!B13,2)="mm",,RIGHT(Fisa!B13,2)="PG",RIGHT(Fisa!B13,2)="3D"),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IF(OR(RIGHT(Fisa!B14,1)={"0","1","2","3","4","5","6","7","8","9"},RIGHT(Fisa!B14,2)="SM",RIGHT(Fisa!B14,2)="PM",RIGHT(Fisa!B14,2)="PG",RIGHT(Fisa!B14,2)="mm",,RIGHT(Fisa!B14,2)="PG",RIGHT(Fisa!B14,2)="3D"),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IF(OR(RIGHT(Fisa!B15,1)={"0","1","2","3","4","5","6","7","8","9"},RIGHT(Fisa!B15,2)="SM",RIGHT(Fisa!B15,2)="PM",RIGHT(Fisa!B15,2)="PG",RIGHT(Fisa!B15,2)="mm",,RIGHT(Fisa!B15,2)="PG",RIGHT(Fisa!B15,2)="3D"),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IF(OR(RIGHT(Fisa!B16,1)={"0","1","2","3","4","5","6","7","8","9"},RIGHT(Fisa!B16,2)="SM",RIGHT(Fisa!B16,2)="PM",RIGHT(Fisa!B16,2)="PG",RIGHT(Fisa!B16,2)="mm",,RIGHT(Fisa!B16,2)="PG",RIGHT(Fisa!B16,2)="3D"),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IF(OR(RIGHT(Fisa!B17,1)={"0","1","2","3","4","5","6","7","8","9"},RIGHT(Fisa!B17,2)="SM",RIGHT(Fisa!B17,2)="PM",RIGHT(Fisa!B17,2)="PG",RIGHT(Fisa!B17,2)="mm",,RIGHT(Fisa!B17,2)="PG",RIGHT(Fisa!B17,2)="3D"),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IF(OR(RIGHT(Fisa!B18,1)={"0","1","2","3","4","5","6","7","8","9"},RIGHT(Fisa!B18,2)="SM",RIGHT(Fisa!B18,2)="PM",RIGHT(Fisa!B18,2)="PG",RIGHT(Fisa!B18,2)="mm",,RIGHT(Fisa!B18,2)="PG",RIGHT(Fisa!B18,2)="3D"),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IF(OR(RIGHT(Fisa!B19,1)={"0","1","2","3","4","5","6","7","8","9"},RIGHT(Fisa!B19,2)="SM",RIGHT(Fisa!B19,2)="PM",RIGHT(Fisa!B19,2)="PG",RIGHT(Fisa!B19,2)="mm",,RIGHT(Fisa!B19,2)="PG",RIGHT(Fisa!B19,2)="3D"),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IF(OR(RIGHT(Fisa!B20,1)={"0","1","2","3","4","5","6","7","8","9"},RIGHT(Fisa!B20,2)="SM",RIGHT(Fisa!B20,2)="PM",RIGHT(Fisa!B20,2)="PG",RIGHT(Fisa!B20,2)="mm",,RIGHT(Fisa!B20,2)="PG",RIGHT(Fisa!B20,2)="3D"),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IF(OR(RIGHT(Fisa!B21,1)={"0","1","2","3","4","5","6","7","8","9"},RIGHT(Fisa!B21,2)="SM",RIGHT(Fisa!B21,2)="PM",RIGHT(Fisa!B21,2)="PG",RIGHT(Fisa!B21,2)="mm",,RIGHT(Fisa!B21,2)="PG",RIGHT(Fisa!B21,2)="3D"),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IF(OR(RIGHT(Fisa!B22,1)={"0","1","2","3","4","5","6","7","8","9"},RIGHT(Fisa!B22,2)="SM",RIGHT(Fisa!B22,2)="PM",RIGHT(Fisa!B22,2)="PG",RIGHT(Fisa!B22,2)="mm",,RIGHT(Fisa!B22,2)="PG",RIGHT(Fisa!B22,2)="3D"), B13*5.796, B13)),B13)</f>
        <v/>
      </c>
      <c r="F13" t="s">
        <v>52</v>
      </c>
    </row>
    <row r="14" spans="1:6">
      <c r="A14" t="str">
        <f>IF(Fisa!B24="","",IF(RIGHT(Fisa!B24,2)="3D",Fisa!B24,"MDF "&amp;Fisa!B24))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02" t="str" cm="1">
        <f t="array" ref="E14">IF(Fisa!I3="Debitare căntuire",IF(LEFT(Fisa!B24,3)="AGT",B14*3.416, IF(OR(RIGHT(Fisa!B24,1)={"0","1","2","3","4","5","6","7","8","9"},RIGHT(Fisa!B24,2)="SM",RIGHT(Fisa!B24,2)="PM",RIGHT(Fisa!B24,2)="PG",RIGHT(Fisa!B24,2)="mm",,RIGHT(Fisa!B24,2)="PG",RIGHT(Fisa!B24,2)="3D"), B14*5.796, B14)),B14)</f>
        <v/>
      </c>
      <c r="F14" t="s">
        <v>52</v>
      </c>
    </row>
    <row r="15" spans="1:6">
      <c r="A15" t="str">
        <f>IF(Fisa!B25="","",IF(RIGHT(Fisa!B25,2)="3D",Fisa!B25,"MDF "&amp;Fisa!B25))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IF(OR(RIGHT(Fisa!B25,1)={"0","1","2","3","4","5","6","7","8","9"},RIGHT(Fisa!B25,2)="SM",RIGHT(Fisa!B25,2)="PM",RIGHT(Fisa!B25,2)="PG",RIGHT(Fisa!B25,2)="mm",,RIGHT(Fisa!B25,2)="PG",RIGHT(Fisa!B25,2)="3D"), B15*5.796, B15)),B15)</f>
        <v/>
      </c>
      <c r="F15" t="s">
        <v>52</v>
      </c>
    </row>
    <row r="16" spans="1:6">
      <c r="A16" t="str">
        <f>IF(Fisa!B26="","",IF(RIGHT(Fisa!B26,2)="3D",Fisa!B26,"MDF "&amp;Fisa!B26))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IF(OR(RIGHT(Fisa!B26,1)={"0","1","2","3","4","5","6","7","8","9"},RIGHT(Fisa!B26,2)="SM",RIGHT(Fisa!B26,2)="PM",RIGHT(Fisa!B26,2)="PG",RIGHT(Fisa!B26,2)="mm",,RIGHT(Fisa!B26,2)="PG",RIGHT(Fisa!B26,2)="3D"), B16*5.796, B16)),B16)</f>
        <v/>
      </c>
      <c r="F16" t="s">
        <v>52</v>
      </c>
    </row>
    <row r="17" spans="1:6">
      <c r="A17" t="str">
        <f>IF(Fisa!B27="","",IF(RIGHT(Fisa!B27,2)="3D",Fisa!B27,"MDF "&amp;Fisa!B27))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IF(OR(RIGHT(Fisa!B27,1)={"0","1","2","3","4","5","6","7","8","9"},RIGHT(Fisa!B27,2)="SM",RIGHT(Fisa!B27,2)="PM",RIGHT(Fisa!B27,2)="PG",RIGHT(Fisa!B27,2)="mm",,RIGHT(Fisa!B27,2)="PG",RIGHT(Fisa!B27,2)="3D"), B17*5.796, B17)),B17)</f>
        <v/>
      </c>
      <c r="F17" t="s">
        <v>52</v>
      </c>
    </row>
    <row r="18" spans="1:6">
      <c r="A18" t="str">
        <f>IF(Fisa!B28="","",IF(RIGHT(Fisa!B28,2)="3D",Fisa!B28,"MDF "&amp;Fisa!B28))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IF(OR(RIGHT(Fisa!B28,1)={"0","1","2","3","4","5","6","7","8","9"},RIGHT(Fisa!B28,2)="SM",RIGHT(Fisa!B28,2)="PM",RIGHT(Fisa!B28,2)="PG",RIGHT(Fisa!B28,2)="mm",,RIGHT(Fisa!B28,2)="PG",RIGHT(Fisa!B28,2)="3D"),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Fisa!S41+Fisa!Q41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workbookViewId="0">
      <selection activeCell="F57" sqref="F57"/>
    </sheetView>
  </sheetViews>
  <sheetFormatPr defaultColWidth="9.140625" defaultRowHeight="15"/>
  <cols>
    <col min="1" max="1" width="12.7109375" style="4" customWidth="1"/>
    <col min="2" max="2" width="15.8554687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X2" sqref="X2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  <col min="27" max="27" width="13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AND(D2=3050,E2=1300,B2=19),
            AND(D2=3050,E2=1310,B2=19),
            AND(D2=2800,E2=1300,OR(B2=17.5,B2=18.5,B2=19)),
            AND(RIGHT(A2,6)="MDF 3D",B2&lt;&gt;36)
        ),
        NOT(OR(
            ISNUMBER(FIND(" TM",A2)),
            ISNUMBER(FIND("TM/ST",A2))
        )),
        RIGHT(A2,6)&lt;&gt;"ROH P2"
    ),
    "MDF",
    IF(
        AND(
            D2=2800,
            OR(E2=2070,E2=1000),
            OR(B2=18,B2=18.6,B2=8,B2=10,B2=16,B2=19),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OR(E2=600,E2=650,E2=920,E2=1200),
                        OR(B2=38,B2=20)
                    ),
                    "BLAT",
                    IF(
                        AND(
                            D2=4100,
                            OR(E2=600,E2=650,E2=920),
                            OR(B2=12)
                        ),
                        "LC",
                        IF(
                            AND(
                                D2=4100,
                                E2=640,
                                OR(B2=9.2,B2=8,B2=8.8)
                            ),
                            "PS",
                            IF(
                                AND(
                                    OR(
                                        AND(D2=2800,E2=2070,OR(B2=38,B2=38.6)),
                                        AND(D2=2800,E2=1220,B2=36),
                                        AND(D2=3050,OR(E2=1300,E2=1310),OR(B2=38.6,B2=38,B2=38.1)),
                                        AND(D2=2800,E2=1300,B2=35),
                                        AND(D2=2800,E2=1300,B2=38),
                                        AND(RIGHT(A2,6)="MDF 3D",B2=36)
                                    ),
                                    NOT(OR(ISNUMBER(FIND(" TM",A2)),ISNUMBER(FIND("TM/ST",A2))))
                                ),
                                "DB MDF",
                                IF(
                                    AND(
                                        D2=2800,
                                        E2=2070,
                                        OR(B2=36,B2=37.2,B2=32,B2=26,B2=28),
                                        RIGHT(A2,6)&lt;&gt;"MDF 3D"
                                    ),
                                    "DB PAL",
                                    IF(B2=2.7,"HDF","N/A")
                                )
                            )
                        )
                    )
                )
            )
        )
    )
)</f>
        <v>N/A</v>
      </c>
      <c r="X2" t="str">
        <f>IFERROR(
IF(
ISNUMBER(SEARCH("2461LT",A2)),
"Rehau 2461LT",
IF(
ISNUMBER(SEARCH("2461L",A2)),
"Rehau 2461L",
IF(
ISNUMBER(SEARCH("3146L",A2)),
"Rehau 3146L",
IF(
ISNUMBER(SEARCH("1918L",A2)),
"Rehau 1918L",
IF(
ISNUMBER(--LEFT(SUBSTITUTE(TRIM(MID(A2,FIND("-",A2)+1,50)),"LR ","LR"),1)),
"AGT "&amp;SUBSTITUTE(TRIM(MID(A2,FIND("-",A2)+1,50)),"LR ","LR"),
SUBSTITUTE(TRIM(MID(A2,FIND("-",A2)+1,50)),"LR ","LR")
)
)
)
)
)
&amp;IF(OR(E2=600,E2=650,E2=920)," /"&amp;E2,"")
&amp;IF(E2=640," PS","")
&amp;IF(AND(OR(B2=8,B2=10,B2=16),D2=2800,E2=2070)," "&amp;B2&amp;"mm",""),
"")</f>
        <v/>
      </c>
      <c r="Y2" t="str">
        <f>IF(W2="","",
IF(
OR(
ISNUMBER(FIND(" ST",X2)),
ISNUMBER(FIND(" SM",X2)),
ISNUMBER(FIND(" PM",X2)),
ISNUMBER(FIND(" TM",X2)),
ISNUMBER(FIND(" PG",X2)),
ISNUMBER(FIND(" PA",X2))
),
IF(OR(E2=600,E2=650,E2=920,LEFT(A2,5)="CLMEL"),
SUBSTITUTE(X2," ","",1),
IFERROR(LEFT(SUBSTITUTE(X2," ","",1),FIND("/",SUBSTITUTE(X2," ","",1))-1),SUBSTITUTE(X2," ","",1))
),
IF(OR(E2=600,E2=650,E2=920,LEFT(A2,5)="CLMEL"),
X2,
IFERROR(LEFT(X2,FIND("/",X2)-1),X2)
)
)
&amp;IF(W2="LC"," LC","")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AND(D3=3050,E3=1300,B3=19),
            AND(D3=3050,E3=1310,B3=19),
            AND(D3=2800,E3=1300,OR(B3=17.5,B3=18.5,B3=19)),
            AND(RIGHT(A3,6)="MDF 3D",B3&lt;&gt;36)
        ),
        NOT(OR(
            ISNUMBER(FIND(" TM",A3)),
            ISNUMBER(FIND("TM/ST",A3))
        )),
        RIGHT(A3,6)&lt;&gt;"ROH P2"
    ),
    "MDF",
    IF(
        AND(
            D3=2800,
            OR(E3=2070,E3=1000),
            OR(B3=18,B3=18.6,B3=8,B3=10,B3=16,B3=19),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OR(E3=600,E3=650,E3=920,E3=1200),
                        OR(B3=38,B3=20)
                    ),
                    "BLAT",
                    IF(
                        AND(
                            D3=4100,
                            OR(E3=600,E3=650,E3=920),
                            OR(B3=12)
                        ),
                        "LC",
                        IF(
                            AND(
                                D3=4100,
                                E3=640,
                                OR(B3=9.2,B3=8,B3=8.8)
                            ),
                            "PS",
                            IF(
                                AND(
                                    OR(
                                        AND(D3=2800,E3=2070,OR(B3=38,B3=38.6)),
                                        AND(D3=2800,E3=1220,B3=36),
                                        AND(D3=3050,OR(E3=1300,E3=1310),OR(B3=38.6,B3=38,B3=38.1)),
                                        AND(D3=2800,E3=1300,B3=35),
                                        AND(D3=2800,E3=1300,B3=38),
                                        AND(RIGHT(A3,6)="MDF 3D",B3=36)
                                    ),
                                    NOT(OR(ISNUMBER(FIND(" TM",A3)),ISNUMBER(FIND("TM/ST",A3))))
                                ),
                                "DB MDF",
                                IF(
                                    AND(
                                        D3=2800,
                                        E3=2070,
                                        OR(B3=36,B3=37.2,B3=32,B3=26,B3=28),
                                        RIGHT(A3,6)&lt;&gt;"MDF 3D"
                                    ),
                                    "DB PAL",
                                    IF(B3=2.7,"HDF","N/A")
                                )
                            )
                        )
                    )
                )
            )
        )
    )
)</f>
        <v>N/A</v>
      </c>
      <c r="X3" t="str">
        <f t="shared" ref="X3:X34" si="2">IFERROR(
IF(
ISNUMBER(SEARCH("2461LT",A3)),
"Rehau 2461LT",
IF(
ISNUMBER(SEARCH("2461L",A3)),
"Rehau 2461L",
IF(
ISNUMBER(SEARCH("3146L",A3)),
"Rehau 3146L",
IF(
ISNUMBER(SEARCH("1918L",A3)),
"Rehau 1918L",
IF(
ISNUMBER(--LEFT(SUBSTITUTE(TRIM(MID(A3,FIND("-",A3)+1,50)),"LR ","LR"),1)),
"AGT "&amp;SUBSTITUTE(TRIM(MID(A3,FIND("-",A3)+1,50)),"LR ","LR"),
SUBSTITUTE(TRIM(MID(A3,FIND("-",A3)+1,50)),"LR ","LR")
)
)
)
)
)
&amp;IF(OR(E3=600,E3=650,E3=920)," /"&amp;E3,"")
&amp;IF(E3=640," PS","")
&amp;IF(AND(OR(B3=8,B3=10,B3=16),D3=2800,E3=2070)," "&amp;B3&amp;"mm",""),
"")</f>
        <v/>
      </c>
      <c r="Y3" t="str">
        <f t="shared" ref="Y3:Y34" si="3">IF(W3="","",
IF(
OR(
ISNUMBER(FIND(" ST",X3)),
ISNUMBER(FIND(" SM",X3)),
ISNUMBER(FIND(" PM",X3)),
ISNUMBER(FIND(" TM",X3)),
ISNUMBER(FIND(" PG",X3)),
ISNUMBER(FIND(" PA",X3))
),
IF(OR(E3=600,E3=650,E3=920,LEFT(A3,5)="CLMEL"),
SUBSTITUTE(X3," ","",1),
IFERROR(LEFT(SUBSTITUTE(X3," ","",1),FIND("/",SUBSTITUTE(X3," ","",1))-1),SUBSTITUTE(X3," ","",1))
),
IF(OR(E3=600,E3=650,E3=920,LEFT(A3,5)="CLMEL"),
X3,
IFERROR(LEFT(X3,FIND("/",X3)-1),X3)
)
)
&amp;IF(W3="LC"," LC","")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tabSelected="1" workbookViewId="0">
      <selection activeCell="L7" sqref="L7"/>
    </sheetView>
  </sheetViews>
  <sheetFormatPr defaultRowHeight="15"/>
  <cols>
    <col min="1" max="1" width="85.5703125" customWidth="1"/>
    <col min="12" max="12" width="15.140625" bestFit="1" customWidth="1"/>
    <col min="13" max="13" width="10.85546875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
IF(
ISNUMBER(SEARCH("2461LT",A2)),
"Rehau 2461LT",
IF(
ISNUMBER(SEARCH("2461L",A2)),
"Rehau 2461L",
IF(
ISNUMBER(SEARCH("3146L",A2)),
"Rehau 3146L",
IF(
ISNUMBER(SEARCH("1918L",A2)),
"Rehau 1918L",
IF(
ISNUMBER(VALUE(MID(A2,FIND("-",A2)+1,1))),
"AGT "&amp;TRIM(MID(A2,FIND("-",A2)+1,FIND("@",SUBSTITUTE(A2,"-","@",LEN(A2)-LEN(SUBSTITUTE(A2,"-",""))))-FIND("-",A2)-1)),
TRIM(MID(A2,FIND("-",A2)+1,FIND("@",SUBSTITUTE(A2,"-","@",LEN(A2)-LEN(SUBSTITUTE(A2,"-",""))))-FIND("-",A2)-1))
)
)
)
)),
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23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
IF(
ISNUMBER(SEARCH("2461LT",A3)),
"Rehau 2461LT",
IF(
ISNUMBER(SEARCH("2461L",A3)),
"Rehau 2461L",
IF(
ISNUMBER(SEARCH("3146L",A3)),
"Rehau 3146L",
IF(
ISNUMBER(SEARCH("1918L",A3)),
"Rehau 1918L",
IF(
ISNUMBER(VALUE(MID(A3,FIND("-",A3)+1,1))),
"AGT "&amp;TRIM(MID(A3,FIND("-",A3)+1,FIND("@",SUBSTITUTE(A3,"-","@",LEN(A3)-LEN(SUBSTITUTE(A3,"-",""))))-FIND("-",A3)-1)),
TRIM(MID(A3,FIND("-",A3)+1,FIND("@",SUBSTITUTE(A3,"-","@",LEN(A3)-LEN(SUBSTITUTE(A3,"-",""))))-FIND("-",A3)-1))
)
)
)
)),
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H18" t="str">
        <f t="shared" si="1"/>
        <v/>
      </c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H19" t="str">
        <f t="shared" si="1"/>
        <v/>
      </c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H20" t="str">
        <f t="shared" si="1"/>
        <v/>
      </c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H21" t="str">
        <f t="shared" si="1"/>
        <v/>
      </c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H22" t="str">
        <f t="shared" si="1"/>
        <v/>
      </c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H23" t="str">
        <f t="shared" si="1"/>
        <v/>
      </c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topLeftCell="A10" workbookViewId="0">
      <selection activeCell="J35" sqref="J35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2026-09-24T11:15:45Z</cp:lastPrinted>
  <dcterms:created xsi:type="dcterms:W3CDTF">2018-08-21T07:33:50Z</dcterms:created>
  <dcterms:modified xsi:type="dcterms:W3CDTF">2026-10-21T13:51:38Z</dcterms:modified>
</cp:coreProperties>
</file>