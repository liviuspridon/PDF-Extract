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iviu.spridon\Desktop\"/>
    </mc:Choice>
  </mc:AlternateContent>
  <xr:revisionPtr revIDLastSave="0" documentId="8_{C57C1681-D468-4C63-B478-ACD1F6421CEF}" xr6:coauthVersionLast="47" xr6:coauthVersionMax="47" xr10:uidLastSave="{00000000-0000-0000-0000-000000000000}"/>
  <bookViews>
    <workbookView xWindow="-120" yWindow="-120" windowWidth="29040" windowHeight="15720" activeTab="3" xr2:uid="{6BB54F16-2027-48CD-9FB7-F8F825275EC5}"/>
  </bookViews>
  <sheets>
    <sheet name="Fisa" sheetId="6" r:id="rId1"/>
    <sheet name="Proforma" sheetId="7" r:id="rId2"/>
    <sheet name="Materiale" sheetId="8" r:id="rId3"/>
    <sheet name="Deco" sheetId="9" r:id="rId4"/>
    <sheet name="Cant" sheetId="10" r:id="rId5"/>
    <sheet name="Taiere" sheetId="19" r:id="rId6"/>
    <sheet name="Parametri" sheetId="4" state="hidden" r:id="rId7"/>
  </sheets>
  <definedNames>
    <definedName name="_xlnm._FilterDatabase" localSheetId="1" hidden="1">Proforma!$A$1:$B$201</definedName>
  </definedNames>
  <calcPr calcId="191029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6" i="10" l="1"/>
  <c r="L7" i="10"/>
  <c r="L8" i="10"/>
  <c r="L9" i="10"/>
  <c r="L10" i="10"/>
  <c r="L11" i="10"/>
  <c r="L12" i="10"/>
  <c r="L13" i="10"/>
  <c r="L14" i="10"/>
  <c r="L15" i="10"/>
  <c r="L16" i="10"/>
  <c r="L17" i="10"/>
  <c r="L18" i="10"/>
  <c r="L19" i="10"/>
  <c r="L20" i="10"/>
  <c r="L21" i="10"/>
  <c r="L22" i="10"/>
  <c r="L23" i="10"/>
  <c r="L2" i="10"/>
  <c r="L3" i="10"/>
  <c r="L4" i="10"/>
  <c r="L5" i="10"/>
  <c r="W3" i="9"/>
  <c r="W4" i="9"/>
  <c r="W5" i="9"/>
  <c r="W6" i="9"/>
  <c r="W7" i="9"/>
  <c r="W8" i="9"/>
  <c r="W9" i="9"/>
  <c r="W10" i="9"/>
  <c r="W11" i="9"/>
  <c r="W12" i="9"/>
  <c r="W13" i="9"/>
  <c r="W14" i="9"/>
  <c r="W15" i="9"/>
  <c r="W16" i="9"/>
  <c r="W17" i="9"/>
  <c r="W18" i="9"/>
  <c r="W19" i="9"/>
  <c r="W20" i="9"/>
  <c r="W21" i="9"/>
  <c r="W22" i="9"/>
  <c r="W23" i="9"/>
  <c r="W24" i="9"/>
  <c r="W25" i="9"/>
  <c r="W26" i="9"/>
  <c r="W27" i="9"/>
  <c r="W28" i="9"/>
  <c r="W29" i="9"/>
  <c r="W30" i="9"/>
  <c r="W31" i="9"/>
  <c r="W32" i="9"/>
  <c r="W33" i="9"/>
  <c r="W34" i="9"/>
  <c r="W2" i="9"/>
  <c r="X6" i="9"/>
  <c r="X7" i="9"/>
  <c r="X8" i="9"/>
  <c r="X9" i="9"/>
  <c r="X10" i="9"/>
  <c r="X11" i="9"/>
  <c r="X12" i="9"/>
  <c r="X13" i="9"/>
  <c r="X14" i="9"/>
  <c r="X15" i="9"/>
  <c r="X16" i="9"/>
  <c r="X17" i="9"/>
  <c r="X18" i="9"/>
  <c r="X19" i="9"/>
  <c r="X20" i="9"/>
  <c r="X21" i="9"/>
  <c r="X22" i="9"/>
  <c r="X23" i="9"/>
  <c r="X24" i="9"/>
  <c r="X25" i="9"/>
  <c r="X26" i="9"/>
  <c r="X27" i="9"/>
  <c r="X28" i="9"/>
  <c r="X29" i="9"/>
  <c r="X30" i="9"/>
  <c r="X31" i="9"/>
  <c r="X32" i="9"/>
  <c r="X33" i="9"/>
  <c r="X34" i="9"/>
  <c r="X2" i="9"/>
  <c r="X3" i="9"/>
  <c r="X4" i="9"/>
  <c r="X5" i="9"/>
  <c r="I3" i="10" l="1"/>
  <c r="I4" i="10"/>
  <c r="I5" i="10"/>
  <c r="I6" i="10"/>
  <c r="I7" i="10"/>
  <c r="I8" i="10"/>
  <c r="I9" i="10"/>
  <c r="I10" i="10"/>
  <c r="I11" i="10"/>
  <c r="I12" i="10"/>
  <c r="I13" i="10"/>
  <c r="I14" i="10"/>
  <c r="I15" i="10"/>
  <c r="I16" i="10"/>
  <c r="I17" i="10"/>
  <c r="I18" i="10"/>
  <c r="I19" i="10"/>
  <c r="I20" i="10"/>
  <c r="I21" i="10"/>
  <c r="I22" i="10"/>
  <c r="I23" i="10"/>
  <c r="I2" i="10"/>
  <c r="Y9" i="9"/>
  <c r="Y10" i="9"/>
  <c r="Y11" i="9"/>
  <c r="Y12" i="9"/>
  <c r="Y13" i="9"/>
  <c r="Y14" i="9"/>
  <c r="Y15" i="9"/>
  <c r="Y16" i="9"/>
  <c r="Y17" i="9"/>
  <c r="Y18" i="9"/>
  <c r="Y19" i="9"/>
  <c r="Y20" i="9"/>
  <c r="Y21" i="9"/>
  <c r="Y22" i="9"/>
  <c r="Y23" i="9"/>
  <c r="Y24" i="9"/>
  <c r="Y25" i="9"/>
  <c r="Y26" i="9"/>
  <c r="Y27" i="9"/>
  <c r="Y28" i="9"/>
  <c r="Y29" i="9"/>
  <c r="Y30" i="9"/>
  <c r="Y31" i="9"/>
  <c r="Y32" i="9"/>
  <c r="Y33" i="9"/>
  <c r="Y34" i="9"/>
  <c r="H18" i="10" l="1"/>
  <c r="H19" i="10"/>
  <c r="H20" i="10"/>
  <c r="H21" i="10"/>
  <c r="H22" i="10"/>
  <c r="H23" i="10"/>
  <c r="R23" i="6"/>
  <c r="R29" i="6"/>
  <c r="R30" i="6"/>
  <c r="R31" i="6"/>
  <c r="R35" i="6"/>
  <c r="P23" i="6"/>
  <c r="P29" i="6"/>
  <c r="P30" i="6"/>
  <c r="P31" i="6"/>
  <c r="P35" i="6"/>
  <c r="N23" i="6"/>
  <c r="N29" i="6"/>
  <c r="N30" i="6"/>
  <c r="N31" i="6"/>
  <c r="N35" i="6"/>
  <c r="L23" i="6"/>
  <c r="L29" i="6"/>
  <c r="L30" i="6"/>
  <c r="L31" i="6"/>
  <c r="L35" i="6"/>
  <c r="J23" i="6"/>
  <c r="J29" i="6"/>
  <c r="J30" i="6"/>
  <c r="J31" i="6"/>
  <c r="J35" i="6"/>
  <c r="H23" i="6"/>
  <c r="H29" i="6"/>
  <c r="H30" i="6"/>
  <c r="H31" i="6"/>
  <c r="H35" i="6"/>
  <c r="B33" i="6" l="1" a="1"/>
  <c r="B33" i="6" s="1"/>
  <c r="B34" i="6" a="1"/>
  <c r="B34" i="6" s="1"/>
  <c r="Z3" i="9" l="1"/>
  <c r="Z4" i="9"/>
  <c r="Z5" i="9"/>
  <c r="Z6" i="9"/>
  <c r="Z7" i="9"/>
  <c r="Z8" i="9"/>
  <c r="Z9" i="9"/>
  <c r="Z10" i="9"/>
  <c r="Z11" i="9"/>
  <c r="Z12" i="9"/>
  <c r="Z13" i="9"/>
  <c r="Z14" i="9"/>
  <c r="Z15" i="9"/>
  <c r="Z16" i="9"/>
  <c r="Z17" i="9"/>
  <c r="Z18" i="9"/>
  <c r="Z19" i="9"/>
  <c r="Z20" i="9"/>
  <c r="Z21" i="9"/>
  <c r="Z22" i="9"/>
  <c r="Z23" i="9"/>
  <c r="Z24" i="9"/>
  <c r="Z25" i="9"/>
  <c r="Z26" i="9"/>
  <c r="Z27" i="9"/>
  <c r="Z28" i="9"/>
  <c r="Z29" i="9"/>
  <c r="Z30" i="9"/>
  <c r="Z31" i="9"/>
  <c r="Z32" i="9"/>
  <c r="Z33" i="9"/>
  <c r="Z34" i="9"/>
  <c r="Z2" i="9"/>
  <c r="Y2" i="9"/>
  <c r="V3" i="9"/>
  <c r="V4" i="9"/>
  <c r="V5" i="9"/>
  <c r="V6" i="9"/>
  <c r="V7" i="9"/>
  <c r="V8" i="9"/>
  <c r="V9" i="9"/>
  <c r="V10" i="9"/>
  <c r="V11" i="9"/>
  <c r="V12" i="9"/>
  <c r="V13" i="9"/>
  <c r="V14" i="9"/>
  <c r="V15" i="9"/>
  <c r="V16" i="9"/>
  <c r="V17" i="9"/>
  <c r="V18" i="9"/>
  <c r="V19" i="9"/>
  <c r="V20" i="9"/>
  <c r="V21" i="9"/>
  <c r="V22" i="9"/>
  <c r="V23" i="9"/>
  <c r="V24" i="9"/>
  <c r="V25" i="9"/>
  <c r="V26" i="9"/>
  <c r="V27" i="9"/>
  <c r="V28" i="9"/>
  <c r="V29" i="9"/>
  <c r="V30" i="9"/>
  <c r="V31" i="9"/>
  <c r="V32" i="9"/>
  <c r="V33" i="9"/>
  <c r="V34" i="9"/>
  <c r="AA3" i="9"/>
  <c r="AA4" i="9"/>
  <c r="AA5" i="9"/>
  <c r="AA6" i="9"/>
  <c r="AA7" i="9"/>
  <c r="AA8" i="9"/>
  <c r="AA9" i="9"/>
  <c r="AA10" i="9"/>
  <c r="AA11" i="9"/>
  <c r="AA12" i="9"/>
  <c r="AA13" i="9"/>
  <c r="AA14" i="9"/>
  <c r="AA15" i="9"/>
  <c r="AA16" i="9"/>
  <c r="AA17" i="9"/>
  <c r="AA18" i="9"/>
  <c r="AA19" i="9"/>
  <c r="AA20" i="9"/>
  <c r="AA21" i="9"/>
  <c r="AA22" i="9"/>
  <c r="AA23" i="9"/>
  <c r="AA24" i="9"/>
  <c r="AA25" i="9"/>
  <c r="AA26" i="9"/>
  <c r="AA27" i="9"/>
  <c r="AA28" i="9"/>
  <c r="AA29" i="9"/>
  <c r="AA30" i="9"/>
  <c r="AA31" i="9"/>
  <c r="AA32" i="9"/>
  <c r="AA33" i="9"/>
  <c r="AA34" i="9"/>
  <c r="AA2" i="9"/>
  <c r="Y3" i="9"/>
  <c r="B30" i="6" s="1" a="1"/>
  <c r="B30" i="6" s="1"/>
  <c r="Y4" i="9"/>
  <c r="Y5" i="9"/>
  <c r="B24" i="6" s="1" a="1"/>
  <c r="B24" i="6" s="1"/>
  <c r="A14" i="7" s="1"/>
  <c r="Y6" i="9"/>
  <c r="B32" i="6" s="1" a="1"/>
  <c r="B32" i="6" s="1"/>
  <c r="Y7" i="9"/>
  <c r="Y8" i="9"/>
  <c r="A144" i="7" l="1"/>
  <c r="V2" i="9"/>
  <c r="C48" i="6"/>
  <c r="R45" i="6" a="1"/>
  <c r="R45" i="6" s="1"/>
  <c r="S45" i="6" s="1"/>
  <c r="J45" i="6" a="1"/>
  <c r="J45" i="6" s="1"/>
  <c r="K45" i="6" s="1"/>
  <c r="H45" i="6" a="1"/>
  <c r="H45" i="6" s="1"/>
  <c r="I45" i="6" s="1"/>
  <c r="F45" i="6"/>
  <c r="G45" i="6" s="1"/>
  <c r="N45" i="6" a="1"/>
  <c r="N45" i="6" s="1"/>
  <c r="O45" i="6" s="1"/>
  <c r="P45" i="6" a="1"/>
  <c r="P45" i="6" s="1"/>
  <c r="Q45" i="6" s="1"/>
  <c r="L45" i="6" a="1"/>
  <c r="L45" i="6" s="1"/>
  <c r="M45" i="6" s="1"/>
  <c r="I24" i="19"/>
  <c r="I27" i="19"/>
  <c r="I28" i="19"/>
  <c r="C49" i="8"/>
  <c r="C7" i="8"/>
  <c r="D187" i="7"/>
  <c r="D188" i="7"/>
  <c r="D189" i="7"/>
  <c r="D190" i="7"/>
  <c r="D191" i="7"/>
  <c r="D193" i="7"/>
  <c r="D194" i="7"/>
  <c r="D196" i="7"/>
  <c r="D197" i="7"/>
  <c r="D198" i="7"/>
  <c r="D199" i="7"/>
  <c r="D200" i="7"/>
  <c r="I26" i="19" l="1"/>
  <c r="I25" i="19"/>
  <c r="H10" i="10"/>
  <c r="J10" i="10" s="1"/>
  <c r="M10" i="10"/>
  <c r="H11" i="10"/>
  <c r="J11" i="10" s="1"/>
  <c r="M11" i="10"/>
  <c r="I335" i="19"/>
  <c r="I3" i="19"/>
  <c r="I4" i="19"/>
  <c r="I5" i="19"/>
  <c r="I6" i="19"/>
  <c r="I7" i="19"/>
  <c r="I8" i="19"/>
  <c r="I9" i="19"/>
  <c r="I10" i="19"/>
  <c r="I11" i="19"/>
  <c r="I12" i="19"/>
  <c r="I13" i="19"/>
  <c r="I14" i="19"/>
  <c r="I16" i="19"/>
  <c r="I18" i="19"/>
  <c r="I21" i="19"/>
  <c r="I22" i="19"/>
  <c r="I23" i="19"/>
  <c r="I2" i="19"/>
  <c r="H2" i="10"/>
  <c r="J2" i="10" s="1"/>
  <c r="H3" i="10"/>
  <c r="J3" i="10" s="1"/>
  <c r="H4" i="10"/>
  <c r="J4" i="10" s="1"/>
  <c r="H5" i="10"/>
  <c r="J5" i="10" s="1"/>
  <c r="H6" i="10"/>
  <c r="J6" i="10" s="1"/>
  <c r="H7" i="10"/>
  <c r="J7" i="10" s="1"/>
  <c r="H8" i="10"/>
  <c r="J8" i="10" s="1"/>
  <c r="H9" i="10"/>
  <c r="J9" i="10" s="1"/>
  <c r="M2" i="10"/>
  <c r="M3" i="10"/>
  <c r="M4" i="10"/>
  <c r="M5" i="10"/>
  <c r="M6" i="10"/>
  <c r="M7" i="10"/>
  <c r="M8" i="10"/>
  <c r="M9" i="10"/>
  <c r="M19" i="10"/>
  <c r="M20" i="10"/>
  <c r="M21" i="10"/>
  <c r="M22" i="10"/>
  <c r="M23" i="10"/>
  <c r="J19" i="10"/>
  <c r="J20" i="10"/>
  <c r="J21" i="10"/>
  <c r="J22" i="10"/>
  <c r="J23" i="10"/>
  <c r="H14" i="10"/>
  <c r="J14" i="10" s="1"/>
  <c r="M14" i="10"/>
  <c r="H15" i="10"/>
  <c r="J15" i="10" s="1"/>
  <c r="M15" i="10"/>
  <c r="J18" i="10"/>
  <c r="M12" i="10"/>
  <c r="M13" i="10"/>
  <c r="M16" i="10"/>
  <c r="M17" i="10"/>
  <c r="M18" i="10"/>
  <c r="H16" i="10"/>
  <c r="J16" i="10" s="1"/>
  <c r="H17" i="10"/>
  <c r="J17" i="10" s="1"/>
  <c r="H12" i="10"/>
  <c r="J12" i="10" s="1"/>
  <c r="H13" i="10"/>
  <c r="J13" i="10" s="1"/>
  <c r="F11" i="6" l="1" a="1"/>
  <c r="F11" i="6" s="1"/>
  <c r="F12" i="6" s="1" a="1"/>
  <c r="F12" i="6" s="1"/>
  <c r="S42" i="6"/>
  <c r="F43" i="6"/>
  <c r="I20" i="19"/>
  <c r="I19" i="19"/>
  <c r="I17" i="19"/>
  <c r="I15" i="19"/>
  <c r="B11" i="6"/>
  <c r="B15" i="6" a="1"/>
  <c r="B15" i="6" s="1"/>
  <c r="D15" i="6" s="1" a="1"/>
  <c r="D15" i="6" s="1"/>
  <c r="C15" i="6" s="1" a="1"/>
  <c r="C15" i="6" s="1"/>
  <c r="B28" i="6" a="1"/>
  <c r="B28" i="6" s="1"/>
  <c r="A18" i="7" s="1"/>
  <c r="B21" i="6" a="1"/>
  <c r="B21" i="6" s="1"/>
  <c r="B17" i="6" a="1"/>
  <c r="B17" i="6" s="1"/>
  <c r="B18" i="6" a="1"/>
  <c r="B18" i="6" s="1"/>
  <c r="B19" i="6" a="1"/>
  <c r="B19" i="6" s="1"/>
  <c r="B20" i="6" a="1"/>
  <c r="B20" i="6" s="1"/>
  <c r="B26" i="6" a="1"/>
  <c r="B26" i="6" s="1"/>
  <c r="A16" i="7" s="1"/>
  <c r="B37" i="6" a="1"/>
  <c r="B37" i="6" s="1"/>
  <c r="B22" i="6" a="1"/>
  <c r="B22" i="6" s="1"/>
  <c r="B27" i="6" a="1"/>
  <c r="B27" i="6" s="1"/>
  <c r="A17" i="7" s="1"/>
  <c r="B38" i="6" a="1"/>
  <c r="B38" i="6" s="1"/>
  <c r="P12" i="6" l="1"/>
  <c r="Q12" i="6" s="1"/>
  <c r="L12" i="6"/>
  <c r="N12" i="6"/>
  <c r="R12" i="6"/>
  <c r="H12" i="6"/>
  <c r="J12" i="6"/>
  <c r="O12" i="6"/>
  <c r="S12" i="6"/>
  <c r="F13" i="6" a="1"/>
  <c r="F13" i="6" s="1"/>
  <c r="L11" i="6"/>
  <c r="H11" i="6"/>
  <c r="P11" i="6"/>
  <c r="Q11" i="6" s="1"/>
  <c r="J11" i="6"/>
  <c r="N11" i="6"/>
  <c r="O11" i="6" s="1"/>
  <c r="R11" i="6"/>
  <c r="S11" i="6" s="1"/>
  <c r="C41" i="6"/>
  <c r="C42" i="6"/>
  <c r="C47" i="6"/>
  <c r="B14" i="6" a="1"/>
  <c r="B14" i="6" s="1"/>
  <c r="D14" i="6" s="1" a="1"/>
  <c r="D14" i="6" s="1"/>
  <c r="C14" i="6" s="1" a="1"/>
  <c r="C14" i="6" s="1"/>
  <c r="B12" i="6" a="1"/>
  <c r="B12" i="6" s="1"/>
  <c r="D26" i="6" a="1"/>
  <c r="D26" i="6" s="1"/>
  <c r="C26" i="6" s="1" a="1"/>
  <c r="C26" i="6" s="1"/>
  <c r="D19" i="6" a="1"/>
  <c r="D19" i="6" s="1"/>
  <c r="C19" i="6" s="1" a="1"/>
  <c r="C19" i="6" s="1"/>
  <c r="D18" i="6" a="1"/>
  <c r="D18" i="6" s="1"/>
  <c r="C18" i="6" s="1" a="1"/>
  <c r="C18" i="6" s="1"/>
  <c r="D21" i="6" a="1"/>
  <c r="D21" i="6" s="1"/>
  <c r="C21" i="6" s="1" a="1"/>
  <c r="C21" i="6" s="1"/>
  <c r="D28" i="6" a="1"/>
  <c r="D28" i="6" s="1"/>
  <c r="C28" i="6" s="1" a="1"/>
  <c r="C28" i="6" s="1"/>
  <c r="D24" i="6" a="1"/>
  <c r="D24" i="6" s="1"/>
  <c r="C24" i="6" s="1" a="1"/>
  <c r="C24" i="6" s="1"/>
  <c r="B14" i="7" s="1"/>
  <c r="E14" i="7" s="1" a="1"/>
  <c r="E14" i="7" s="1"/>
  <c r="D17" i="6" a="1"/>
  <c r="D17" i="6" s="1"/>
  <c r="C17" i="6" s="1" a="1"/>
  <c r="C17" i="6" s="1"/>
  <c r="D20" i="6" a="1"/>
  <c r="D20" i="6" s="1"/>
  <c r="C20" i="6" s="1" a="1"/>
  <c r="C20" i="6" s="1"/>
  <c r="D27" i="6" a="1"/>
  <c r="D27" i="6" s="1"/>
  <c r="C27" i="6" s="1" a="1"/>
  <c r="C27" i="6" s="1"/>
  <c r="D22" i="6" a="1"/>
  <c r="D22" i="6" s="1"/>
  <c r="C22" i="6" s="1" a="1"/>
  <c r="C22" i="6" s="1"/>
  <c r="B25" i="6"/>
  <c r="A15" i="7" s="1"/>
  <c r="B36" i="6" a="1"/>
  <c r="B36" i="6" s="1"/>
  <c r="D11" i="6" a="1"/>
  <c r="D11" i="6" s="1"/>
  <c r="C11" i="6" s="1" a="1"/>
  <c r="C11" i="6" s="1"/>
  <c r="C33" i="6"/>
  <c r="B16" i="6" a="1"/>
  <c r="B16" i="6" s="1"/>
  <c r="B13" i="6" a="1"/>
  <c r="B13" i="6" s="1"/>
  <c r="C38" i="6"/>
  <c r="C32" i="6"/>
  <c r="C34" i="6"/>
  <c r="C37" i="6"/>
  <c r="C46" i="6"/>
  <c r="I48" i="8" a="1"/>
  <c r="I48" i="8" s="1"/>
  <c r="H48" i="8" a="1"/>
  <c r="H48" i="8" s="1"/>
  <c r="G48" i="8" a="1"/>
  <c r="G48" i="8" s="1"/>
  <c r="F48" i="8" a="1"/>
  <c r="F48" i="8" s="1"/>
  <c r="E48" i="8" a="1"/>
  <c r="E48" i="8" s="1"/>
  <c r="D48" i="8" a="1"/>
  <c r="D48" i="8" s="1"/>
  <c r="C48" i="8" a="1"/>
  <c r="C48" i="8" s="1"/>
  <c r="I47" i="8" a="1"/>
  <c r="I47" i="8" s="1"/>
  <c r="H47" i="8" a="1"/>
  <c r="H47" i="8" s="1"/>
  <c r="G47" i="8" a="1"/>
  <c r="G47" i="8" s="1"/>
  <c r="F47" i="8" a="1"/>
  <c r="F47" i="8" s="1"/>
  <c r="E47" i="8" a="1"/>
  <c r="E47" i="8" s="1"/>
  <c r="D47" i="8" a="1"/>
  <c r="D47" i="8" s="1"/>
  <c r="C47" i="8" a="1"/>
  <c r="C47" i="8" s="1"/>
  <c r="I46" i="8" a="1"/>
  <c r="I46" i="8" s="1"/>
  <c r="H46" i="8" a="1"/>
  <c r="H46" i="8" s="1"/>
  <c r="G46" i="8" a="1"/>
  <c r="G46" i="8" s="1"/>
  <c r="F46" i="8" a="1"/>
  <c r="F46" i="8" s="1"/>
  <c r="E46" i="8" a="1"/>
  <c r="E46" i="8" s="1"/>
  <c r="D46" i="8" a="1"/>
  <c r="D46" i="8" s="1"/>
  <c r="C46" i="8" a="1"/>
  <c r="C46" i="8" s="1"/>
  <c r="I45" i="8" a="1"/>
  <c r="I45" i="8" s="1"/>
  <c r="H45" i="8" a="1"/>
  <c r="H45" i="8" s="1"/>
  <c r="G45" i="8" a="1"/>
  <c r="G45" i="8" s="1"/>
  <c r="F45" i="8" a="1"/>
  <c r="F45" i="8" s="1"/>
  <c r="E45" i="8" a="1"/>
  <c r="E45" i="8" s="1"/>
  <c r="D45" i="8" a="1"/>
  <c r="D45" i="8" s="1"/>
  <c r="C45" i="8" a="1"/>
  <c r="C45" i="8" s="1"/>
  <c r="I44" i="8" a="1"/>
  <c r="I44" i="8" s="1"/>
  <c r="H44" i="8" a="1"/>
  <c r="H44" i="8" s="1"/>
  <c r="G44" i="8" a="1"/>
  <c r="G44" i="8" s="1"/>
  <c r="F44" i="8" a="1"/>
  <c r="F44" i="8" s="1"/>
  <c r="E44" i="8" a="1"/>
  <c r="E44" i="8" s="1"/>
  <c r="D44" i="8" a="1"/>
  <c r="D44" i="8" s="1"/>
  <c r="C44" i="8" a="1"/>
  <c r="C44" i="8" s="1"/>
  <c r="I43" i="8" a="1"/>
  <c r="I43" i="8" s="1"/>
  <c r="H43" i="8" a="1"/>
  <c r="H43" i="8" s="1"/>
  <c r="G43" i="8" a="1"/>
  <c r="G43" i="8" s="1"/>
  <c r="F43" i="8" a="1"/>
  <c r="F43" i="8" s="1"/>
  <c r="E43" i="8" a="1"/>
  <c r="E43" i="8" s="1"/>
  <c r="D43" i="8" a="1"/>
  <c r="D43" i="8" s="1"/>
  <c r="C43" i="8" a="1"/>
  <c r="C43" i="8" s="1"/>
  <c r="I42" i="8" a="1"/>
  <c r="I42" i="8" s="1"/>
  <c r="H42" i="8" a="1"/>
  <c r="H42" i="8" s="1"/>
  <c r="G42" i="8" a="1"/>
  <c r="G42" i="8" s="1"/>
  <c r="F42" i="8" a="1"/>
  <c r="F42" i="8" s="1"/>
  <c r="E42" i="8" a="1"/>
  <c r="E42" i="8" s="1"/>
  <c r="D42" i="8" a="1"/>
  <c r="D42" i="8" s="1"/>
  <c r="C42" i="8" a="1"/>
  <c r="C42" i="8" s="1"/>
  <c r="I41" i="8" a="1"/>
  <c r="I41" i="8" s="1"/>
  <c r="H41" i="8" a="1"/>
  <c r="H41" i="8" s="1"/>
  <c r="G41" i="8" a="1"/>
  <c r="G41" i="8" s="1"/>
  <c r="F41" i="8" a="1"/>
  <c r="F41" i="8" s="1"/>
  <c r="E41" i="8" a="1"/>
  <c r="E41" i="8" s="1"/>
  <c r="D41" i="8" a="1"/>
  <c r="D41" i="8" s="1"/>
  <c r="C41" i="8" a="1"/>
  <c r="C41" i="8" s="1"/>
  <c r="I40" i="8" a="1"/>
  <c r="I40" i="8" s="1"/>
  <c r="H40" i="8" a="1"/>
  <c r="H40" i="8" s="1"/>
  <c r="G40" i="8" a="1"/>
  <c r="G40" i="8" s="1"/>
  <c r="F40" i="8" a="1"/>
  <c r="F40" i="8" s="1"/>
  <c r="E40" i="8" a="1"/>
  <c r="E40" i="8" s="1"/>
  <c r="D40" i="8" a="1"/>
  <c r="D40" i="8" s="1"/>
  <c r="C40" i="8" a="1"/>
  <c r="C40" i="8" s="1"/>
  <c r="F14" i="6" l="1" a="1"/>
  <c r="F14" i="6" s="1"/>
  <c r="R13" i="6"/>
  <c r="J13" i="6"/>
  <c r="P13" i="6"/>
  <c r="Q13" i="6" s="1"/>
  <c r="H13" i="6"/>
  <c r="L13" i="6"/>
  <c r="N13" i="6"/>
  <c r="O13" i="6"/>
  <c r="C43" i="6"/>
  <c r="C44" i="6"/>
  <c r="D13" i="6" a="1"/>
  <c r="D13" i="6" s="1"/>
  <c r="C13" i="6" s="1" a="1"/>
  <c r="C13" i="6" s="1"/>
  <c r="D25" i="6" a="1"/>
  <c r="D25" i="6" s="1"/>
  <c r="C25" i="6" s="1" a="1"/>
  <c r="C25" i="6" s="1"/>
  <c r="D16" i="6" a="1"/>
  <c r="D16" i="6" s="1"/>
  <c r="C16" i="6" s="1" a="1"/>
  <c r="C16" i="6" s="1"/>
  <c r="D12" i="6" a="1"/>
  <c r="D12" i="6" s="1"/>
  <c r="C12" i="6" s="1" a="1"/>
  <c r="C12" i="6" s="1"/>
  <c r="C36" i="6"/>
  <c r="C45" i="6" s="1"/>
  <c r="D30" i="6"/>
  <c r="C30" i="6" s="1"/>
  <c r="C22" i="7"/>
  <c r="C24" i="7"/>
  <c r="C23" i="7"/>
  <c r="A24" i="7"/>
  <c r="D24" i="7" s="1"/>
  <c r="A23" i="7"/>
  <c r="D23" i="7" s="1"/>
  <c r="A22" i="7"/>
  <c r="D22" i="7" s="1"/>
  <c r="C20" i="7"/>
  <c r="C21" i="7"/>
  <c r="C19" i="7"/>
  <c r="A20" i="7"/>
  <c r="D20" i="7" s="1"/>
  <c r="A21" i="7"/>
  <c r="D21" i="7" s="1"/>
  <c r="A19" i="7"/>
  <c r="D19" i="7" s="1"/>
  <c r="D144" i="7"/>
  <c r="B8" i="8"/>
  <c r="F15" i="6" l="1" a="1"/>
  <c r="F15" i="6" s="1"/>
  <c r="P15" i="6" s="1"/>
  <c r="H14" i="6"/>
  <c r="N14" i="6"/>
  <c r="O14" i="6" s="1"/>
  <c r="P14" i="6"/>
  <c r="Q14" i="6" s="1"/>
  <c r="R14" i="6"/>
  <c r="J14" i="6"/>
  <c r="L14" i="6"/>
  <c r="G12" i="6"/>
  <c r="G13" i="6"/>
  <c r="G11" i="6"/>
  <c r="G14" i="6"/>
  <c r="G47" i="6"/>
  <c r="C144" i="7"/>
  <c r="B20" i="8"/>
  <c r="B21" i="8"/>
  <c r="B22" i="8"/>
  <c r="C18" i="7"/>
  <c r="C17" i="7"/>
  <c r="C16" i="7"/>
  <c r="C15" i="7"/>
  <c r="C14" i="7"/>
  <c r="C13" i="7"/>
  <c r="C12" i="7"/>
  <c r="C11" i="7"/>
  <c r="C10" i="7"/>
  <c r="C9" i="7"/>
  <c r="C8" i="7"/>
  <c r="C7" i="7"/>
  <c r="C6" i="7"/>
  <c r="C5" i="7"/>
  <c r="C4" i="7"/>
  <c r="C3" i="7"/>
  <c r="C2" i="7"/>
  <c r="L15" i="6" l="1"/>
  <c r="G15" i="6"/>
  <c r="J15" i="6"/>
  <c r="H15" i="6"/>
  <c r="N15" i="6"/>
  <c r="O15" i="6" s="1"/>
  <c r="F16" i="6" a="1"/>
  <c r="F16" i="6" s="1"/>
  <c r="H16" i="6" s="1"/>
  <c r="R15" i="6"/>
  <c r="Q15" i="6"/>
  <c r="D45" i="6"/>
  <c r="G16" i="6" l="1"/>
  <c r="B60" i="7" s="1"/>
  <c r="P16" i="6"/>
  <c r="N16" i="6"/>
  <c r="O16" i="6" s="1"/>
  <c r="J16" i="6"/>
  <c r="F17" i="6" a="1"/>
  <c r="F17" i="6" s="1"/>
  <c r="Q16" i="6"/>
  <c r="L16" i="6"/>
  <c r="R16" i="6"/>
  <c r="A25" i="7"/>
  <c r="D25" i="7" s="1"/>
  <c r="B25" i="7"/>
  <c r="B32" i="7"/>
  <c r="B39" i="7"/>
  <c r="B46" i="7"/>
  <c r="B53" i="7"/>
  <c r="B144" i="7"/>
  <c r="E144" i="7" s="1"/>
  <c r="B193" i="7"/>
  <c r="F18" i="6" l="1" a="1"/>
  <c r="F18" i="6" s="1"/>
  <c r="P17" i="6"/>
  <c r="Q17" i="6" s="1"/>
  <c r="J17" i="6"/>
  <c r="R17" i="6"/>
  <c r="G17" i="6"/>
  <c r="B67" i="7" s="1"/>
  <c r="H17" i="6"/>
  <c r="L17" i="6"/>
  <c r="N17" i="6"/>
  <c r="O17" i="6" s="1"/>
  <c r="A31" i="7"/>
  <c r="D31" i="7" s="1"/>
  <c r="B31" i="7"/>
  <c r="I11" i="6"/>
  <c r="Q18" i="6" l="1"/>
  <c r="L18" i="6"/>
  <c r="R18" i="6"/>
  <c r="H18" i="6"/>
  <c r="J18" i="6"/>
  <c r="N18" i="6"/>
  <c r="O18" i="6" s="1"/>
  <c r="P18" i="6"/>
  <c r="G18" i="6"/>
  <c r="B74" i="7" s="1"/>
  <c r="F19" i="6" a="1"/>
  <c r="F19" i="6" s="1"/>
  <c r="F20" i="6" s="1" a="1"/>
  <c r="F20" i="6" s="1"/>
  <c r="B30" i="7"/>
  <c r="B29" i="7"/>
  <c r="M11" i="6"/>
  <c r="B28" i="7" s="1"/>
  <c r="A29" i="7"/>
  <c r="D29" i="7" s="1"/>
  <c r="A30" i="7"/>
  <c r="D30" i="7" s="1"/>
  <c r="A28" i="7"/>
  <c r="D28" i="7" s="1"/>
  <c r="A26" i="7"/>
  <c r="D26" i="7" s="1"/>
  <c r="B201" i="7"/>
  <c r="D201" i="7"/>
  <c r="L20" i="6" l="1"/>
  <c r="M20" i="6" s="1"/>
  <c r="P20" i="6"/>
  <c r="Q20" i="6" s="1"/>
  <c r="H20" i="6"/>
  <c r="J20" i="6"/>
  <c r="G20" i="6"/>
  <c r="B88" i="7" s="1"/>
  <c r="R20" i="6"/>
  <c r="N20" i="6"/>
  <c r="O20" i="6" s="1"/>
  <c r="F21" i="6" a="1"/>
  <c r="F21" i="6" s="1"/>
  <c r="P19" i="6"/>
  <c r="Q19" i="6" s="1"/>
  <c r="J19" i="6"/>
  <c r="R19" i="6"/>
  <c r="L19" i="6"/>
  <c r="G19" i="6"/>
  <c r="B81" i="7" s="1"/>
  <c r="N19" i="6"/>
  <c r="O19" i="6" s="1"/>
  <c r="H19" i="6"/>
  <c r="B26" i="7"/>
  <c r="B202" i="7"/>
  <c r="A202" i="7"/>
  <c r="Q21" i="6" l="1"/>
  <c r="L21" i="6"/>
  <c r="J21" i="6"/>
  <c r="G21" i="6"/>
  <c r="B95" i="7" s="1"/>
  <c r="H21" i="6"/>
  <c r="R21" i="6"/>
  <c r="N21" i="6"/>
  <c r="O21" i="6" s="1"/>
  <c r="P21" i="6"/>
  <c r="F22" i="6" a="1"/>
  <c r="F22" i="6" s="1"/>
  <c r="B51" i="8"/>
  <c r="B52" i="8"/>
  <c r="B53" i="8"/>
  <c r="B54" i="8"/>
  <c r="B50" i="8"/>
  <c r="C51" i="8"/>
  <c r="C52" i="8"/>
  <c r="C53" i="8"/>
  <c r="C54" i="8"/>
  <c r="C50" i="8"/>
  <c r="R22" i="6" l="1"/>
  <c r="G22" i="6"/>
  <c r="J22" i="6"/>
  <c r="H22" i="6"/>
  <c r="F24" i="6" a="1"/>
  <c r="F24" i="6" s="1"/>
  <c r="S23" i="6"/>
  <c r="P22" i="6"/>
  <c r="Q22" i="6" s="1"/>
  <c r="L22" i="6"/>
  <c r="N22" i="6"/>
  <c r="O22" i="6" s="1"/>
  <c r="B58" i="8"/>
  <c r="B59" i="8"/>
  <c r="B60" i="8"/>
  <c r="B61" i="8"/>
  <c r="B62" i="8"/>
  <c r="B57" i="8"/>
  <c r="C55" i="8"/>
  <c r="B55" i="8"/>
  <c r="C21" i="8"/>
  <c r="C22" i="8"/>
  <c r="C23" i="8"/>
  <c r="C24" i="8"/>
  <c r="B23" i="8"/>
  <c r="B24" i="8"/>
  <c r="B11" i="8"/>
  <c r="B12" i="8"/>
  <c r="B13" i="8"/>
  <c r="B14" i="8"/>
  <c r="B15" i="8"/>
  <c r="B16" i="8"/>
  <c r="B17" i="8"/>
  <c r="B18" i="8"/>
  <c r="B19" i="8"/>
  <c r="C11" i="8"/>
  <c r="C12" i="8"/>
  <c r="C13" i="8"/>
  <c r="C14" i="8"/>
  <c r="C15" i="8"/>
  <c r="C16" i="8"/>
  <c r="C17" i="8"/>
  <c r="C18" i="8"/>
  <c r="C19" i="8"/>
  <c r="C20" i="8"/>
  <c r="C10" i="8"/>
  <c r="B10" i="8"/>
  <c r="C9" i="8"/>
  <c r="B9" i="8"/>
  <c r="C8" i="8"/>
  <c r="B3" i="8"/>
  <c r="B4" i="8"/>
  <c r="B6" i="8"/>
  <c r="B5" i="8"/>
  <c r="B194" i="7"/>
  <c r="B192" i="7"/>
  <c r="B191" i="7"/>
  <c r="B190" i="7"/>
  <c r="B189" i="7"/>
  <c r="B188" i="7"/>
  <c r="B187" i="7"/>
  <c r="B9" i="7"/>
  <c r="E9" i="7" s="1" a="1"/>
  <c r="E9" i="7" s="1"/>
  <c r="A9" i="7"/>
  <c r="D9" i="7" s="1"/>
  <c r="B6" i="7"/>
  <c r="E6" i="7" s="1" a="1"/>
  <c r="E6" i="7" s="1"/>
  <c r="A6" i="7"/>
  <c r="D6" i="7" s="1"/>
  <c r="B10" i="7"/>
  <c r="E10" i="7" s="1" a="1"/>
  <c r="E10" i="7" s="1"/>
  <c r="B11" i="7"/>
  <c r="E11" i="7" s="1" a="1"/>
  <c r="E11" i="7" s="1"/>
  <c r="B12" i="7"/>
  <c r="E12" i="7" s="1" a="1"/>
  <c r="E12" i="7" s="1"/>
  <c r="B13" i="7"/>
  <c r="E13" i="7" s="1" a="1"/>
  <c r="E13" i="7" s="1"/>
  <c r="B15" i="7"/>
  <c r="E15" i="7" s="1" a="1"/>
  <c r="E15" i="7" s="1"/>
  <c r="B16" i="7"/>
  <c r="E16" i="7" s="1" a="1"/>
  <c r="E16" i="7" s="1"/>
  <c r="B17" i="7"/>
  <c r="E17" i="7" s="1" a="1"/>
  <c r="E17" i="7" s="1"/>
  <c r="B18" i="7"/>
  <c r="E18" i="7" s="1" a="1"/>
  <c r="E18" i="7" s="1"/>
  <c r="D17" i="7"/>
  <c r="D18" i="7"/>
  <c r="A10" i="7"/>
  <c r="D10" i="7" s="1"/>
  <c r="A11" i="7"/>
  <c r="D11" i="7" s="1"/>
  <c r="A12" i="7"/>
  <c r="D12" i="7" s="1"/>
  <c r="A13" i="7"/>
  <c r="D13" i="7" s="1"/>
  <c r="D14" i="7"/>
  <c r="D15" i="7"/>
  <c r="D16" i="7"/>
  <c r="B3" i="7"/>
  <c r="E3" i="7" s="1" a="1"/>
  <c r="E3" i="7" s="1"/>
  <c r="B4" i="7"/>
  <c r="E4" i="7" s="1" a="1"/>
  <c r="E4" i="7" s="1"/>
  <c r="B5" i="7"/>
  <c r="E5" i="7" s="1" a="1"/>
  <c r="E5" i="7" s="1"/>
  <c r="B7" i="7"/>
  <c r="E7" i="7" s="1" a="1"/>
  <c r="E7" i="7" s="1"/>
  <c r="B8" i="7"/>
  <c r="E8" i="7" s="1" a="1"/>
  <c r="E8" i="7" s="1"/>
  <c r="A3" i="7"/>
  <c r="D3" i="7" s="1"/>
  <c r="A4" i="7"/>
  <c r="D4" i="7" s="1"/>
  <c r="A5" i="7"/>
  <c r="D5" i="7" s="1"/>
  <c r="A7" i="7"/>
  <c r="D7" i="7" s="1"/>
  <c r="A8" i="7"/>
  <c r="D8" i="7" s="1"/>
  <c r="A2" i="7"/>
  <c r="D2" i="7" s="1"/>
  <c r="B2" i="7"/>
  <c r="E2" i="7" s="1" a="1"/>
  <c r="E2" i="7" s="1"/>
  <c r="D195" i="7"/>
  <c r="D192" i="7"/>
  <c r="A39" i="7"/>
  <c r="D39" i="7" s="1"/>
  <c r="A32" i="7"/>
  <c r="D32" i="7" s="1"/>
  <c r="A46" i="7"/>
  <c r="D46" i="7" s="1"/>
  <c r="A53" i="7"/>
  <c r="D53" i="7" s="1"/>
  <c r="A60" i="7"/>
  <c r="D60" i="7" s="1"/>
  <c r="A67" i="7"/>
  <c r="D67" i="7" s="1"/>
  <c r="A74" i="7"/>
  <c r="D74" i="7" s="1"/>
  <c r="A81" i="7"/>
  <c r="D81" i="7" s="1"/>
  <c r="A88" i="7"/>
  <c r="D88" i="7" s="1"/>
  <c r="A95" i="7"/>
  <c r="D95" i="7" s="1"/>
  <c r="F25" i="6" l="1" a="1"/>
  <c r="F25" i="6" s="1"/>
  <c r="L24" i="6"/>
  <c r="A112" i="7" s="1"/>
  <c r="D112" i="7" s="1"/>
  <c r="R24" i="6"/>
  <c r="A115" i="7" s="1"/>
  <c r="D115" i="7" s="1"/>
  <c r="N24" i="6"/>
  <c r="A113" i="7" s="1"/>
  <c r="D113" i="7" s="1"/>
  <c r="H24" i="6"/>
  <c r="A110" i="7" s="1"/>
  <c r="D110" i="7" s="1"/>
  <c r="A109" i="7"/>
  <c r="D109" i="7" s="1"/>
  <c r="P24" i="6"/>
  <c r="A114" i="7" s="1"/>
  <c r="D114" i="7" s="1"/>
  <c r="J24" i="6"/>
  <c r="A111" i="7" s="1"/>
  <c r="D111" i="7" s="1"/>
  <c r="G24" i="6"/>
  <c r="B109" i="7" s="1"/>
  <c r="I24" i="6"/>
  <c r="B110" i="7" s="1"/>
  <c r="M24" i="6"/>
  <c r="M21" i="6"/>
  <c r="K21" i="6"/>
  <c r="S21" i="6"/>
  <c r="I21" i="6"/>
  <c r="K20" i="6"/>
  <c r="I20" i="6"/>
  <c r="S20" i="6"/>
  <c r="K19" i="6"/>
  <c r="I19" i="6"/>
  <c r="S19" i="6"/>
  <c r="M19" i="6"/>
  <c r="K18" i="6"/>
  <c r="S18" i="6"/>
  <c r="I18" i="6"/>
  <c r="M18" i="6"/>
  <c r="M17" i="6"/>
  <c r="I17" i="6"/>
  <c r="K17" i="6"/>
  <c r="S17" i="6"/>
  <c r="I16" i="6"/>
  <c r="K16" i="6"/>
  <c r="M16" i="6"/>
  <c r="S16" i="6"/>
  <c r="M15" i="6"/>
  <c r="I15" i="6"/>
  <c r="S15" i="6"/>
  <c r="K15" i="6"/>
  <c r="I14" i="6"/>
  <c r="S14" i="6"/>
  <c r="K14" i="6"/>
  <c r="M14" i="6"/>
  <c r="K13" i="6"/>
  <c r="S13" i="6"/>
  <c r="I13" i="6"/>
  <c r="M13" i="6"/>
  <c r="K12" i="6"/>
  <c r="M12" i="6"/>
  <c r="I12" i="6"/>
  <c r="F26" i="6" l="1" a="1"/>
  <c r="F26" i="6" s="1"/>
  <c r="F27" i="6" s="1" a="1"/>
  <c r="F27" i="6" s="1"/>
  <c r="O24" i="6"/>
  <c r="S24" i="6"/>
  <c r="Q24" i="6"/>
  <c r="H25" i="6"/>
  <c r="A117" i="7" s="1"/>
  <c r="D117" i="7" s="1"/>
  <c r="L25" i="6"/>
  <c r="A119" i="7" s="1"/>
  <c r="D119" i="7" s="1"/>
  <c r="R25" i="6"/>
  <c r="A122" i="7" s="1"/>
  <c r="D122" i="7" s="1"/>
  <c r="A116" i="7"/>
  <c r="D116" i="7" s="1"/>
  <c r="J25" i="6"/>
  <c r="A118" i="7" s="1"/>
  <c r="D118" i="7" s="1"/>
  <c r="G25" i="6"/>
  <c r="B116" i="7" s="1"/>
  <c r="N25" i="6"/>
  <c r="A120" i="7" s="1"/>
  <c r="D120" i="7" s="1"/>
  <c r="P25" i="6"/>
  <c r="A121" i="7" s="1"/>
  <c r="D121" i="7" s="1"/>
  <c r="S25" i="6"/>
  <c r="I25" i="6"/>
  <c r="B117" i="7" s="1"/>
  <c r="K25" i="6"/>
  <c r="K24" i="6"/>
  <c r="B45" i="7"/>
  <c r="B80" i="7"/>
  <c r="B59" i="7"/>
  <c r="B76" i="7"/>
  <c r="B41" i="7"/>
  <c r="B78" i="7"/>
  <c r="B87" i="7"/>
  <c r="B37" i="7"/>
  <c r="B52" i="7"/>
  <c r="B66" i="7"/>
  <c r="B70" i="7"/>
  <c r="B85" i="7"/>
  <c r="B100" i="7"/>
  <c r="B73" i="7"/>
  <c r="B33" i="7"/>
  <c r="B57" i="7"/>
  <c r="B63" i="7"/>
  <c r="B50" i="7"/>
  <c r="B83" i="7"/>
  <c r="B84" i="7"/>
  <c r="B35" i="7"/>
  <c r="B56" i="7"/>
  <c r="B43" i="7"/>
  <c r="B77" i="7"/>
  <c r="B86" i="7"/>
  <c r="B97" i="7"/>
  <c r="B62" i="7"/>
  <c r="B42" i="7"/>
  <c r="B51" i="7"/>
  <c r="B65" i="7"/>
  <c r="B94" i="7"/>
  <c r="B98" i="7"/>
  <c r="B58" i="7"/>
  <c r="B92" i="7"/>
  <c r="B44" i="7"/>
  <c r="B69" i="7"/>
  <c r="B93" i="7"/>
  <c r="B49" i="7"/>
  <c r="B71" i="7"/>
  <c r="B90" i="7"/>
  <c r="B36" i="7"/>
  <c r="B48" i="7"/>
  <c r="B99" i="7"/>
  <c r="B38" i="7"/>
  <c r="B72" i="7"/>
  <c r="B34" i="7"/>
  <c r="B55" i="7"/>
  <c r="B64" i="7"/>
  <c r="B79" i="7"/>
  <c r="B91" i="7"/>
  <c r="B96" i="7"/>
  <c r="B75" i="7"/>
  <c r="B40" i="7"/>
  <c r="A102" i="7"/>
  <c r="D102" i="7" s="1"/>
  <c r="B54" i="7"/>
  <c r="S22" i="6"/>
  <c r="B68" i="7"/>
  <c r="I22" i="6"/>
  <c r="B82" i="7"/>
  <c r="D29" i="6" a="1"/>
  <c r="D29" i="6" s="1"/>
  <c r="B89" i="7"/>
  <c r="A61" i="7"/>
  <c r="D61" i="7" s="1"/>
  <c r="B61" i="7"/>
  <c r="D23" i="6" a="1"/>
  <c r="D23" i="6" s="1"/>
  <c r="B47" i="7"/>
  <c r="A96" i="7"/>
  <c r="D96" i="7" s="1"/>
  <c r="A101" i="7"/>
  <c r="D101" i="7" s="1"/>
  <c r="A97" i="7"/>
  <c r="D97" i="7" s="1"/>
  <c r="A98" i="7"/>
  <c r="D98" i="7" s="1"/>
  <c r="A99" i="7"/>
  <c r="D99" i="7" s="1"/>
  <c r="A100" i="7"/>
  <c r="D100" i="7" s="1"/>
  <c r="A94" i="7"/>
  <c r="D94" i="7" s="1"/>
  <c r="A91" i="7"/>
  <c r="D91" i="7" s="1"/>
  <c r="A92" i="7"/>
  <c r="D92" i="7" s="1"/>
  <c r="A89" i="7"/>
  <c r="D89" i="7" s="1"/>
  <c r="A93" i="7"/>
  <c r="D93" i="7" s="1"/>
  <c r="A90" i="7"/>
  <c r="D90" i="7" s="1"/>
  <c r="A83" i="7"/>
  <c r="D83" i="7" s="1"/>
  <c r="A86" i="7"/>
  <c r="D86" i="7" s="1"/>
  <c r="A84" i="7"/>
  <c r="D84" i="7" s="1"/>
  <c r="A87" i="7"/>
  <c r="D87" i="7" s="1"/>
  <c r="A82" i="7"/>
  <c r="D82" i="7" s="1"/>
  <c r="A85" i="7"/>
  <c r="D85" i="7" s="1"/>
  <c r="A77" i="7"/>
  <c r="D77" i="7" s="1"/>
  <c r="A75" i="7"/>
  <c r="D75" i="7" s="1"/>
  <c r="A79" i="7"/>
  <c r="D79" i="7" s="1"/>
  <c r="A80" i="7"/>
  <c r="D80" i="7" s="1"/>
  <c r="A76" i="7"/>
  <c r="D76" i="7" s="1"/>
  <c r="A78" i="7"/>
  <c r="D78" i="7" s="1"/>
  <c r="A73" i="7"/>
  <c r="D73" i="7" s="1"/>
  <c r="A69" i="7"/>
  <c r="D69" i="7" s="1"/>
  <c r="A70" i="7"/>
  <c r="D70" i="7" s="1"/>
  <c r="A71" i="7"/>
  <c r="D71" i="7" s="1"/>
  <c r="A68" i="7"/>
  <c r="D68" i="7" s="1"/>
  <c r="A72" i="7"/>
  <c r="D72" i="7" s="1"/>
  <c r="A62" i="7"/>
  <c r="D62" i="7" s="1"/>
  <c r="A65" i="7"/>
  <c r="D65" i="7" s="1"/>
  <c r="A64" i="7"/>
  <c r="D64" i="7" s="1"/>
  <c r="A66" i="7"/>
  <c r="D66" i="7" s="1"/>
  <c r="A63" i="7"/>
  <c r="D63" i="7" s="1"/>
  <c r="A55" i="7"/>
  <c r="D55" i="7" s="1"/>
  <c r="A58" i="7"/>
  <c r="D58" i="7" s="1"/>
  <c r="A59" i="7"/>
  <c r="D59" i="7" s="1"/>
  <c r="A54" i="7"/>
  <c r="D54" i="7" s="1"/>
  <c r="A57" i="7"/>
  <c r="D57" i="7" s="1"/>
  <c r="A56" i="7"/>
  <c r="D56" i="7" s="1"/>
  <c r="A50" i="7"/>
  <c r="D50" i="7" s="1"/>
  <c r="A51" i="7"/>
  <c r="D51" i="7" s="1"/>
  <c r="A48" i="7"/>
  <c r="D48" i="7" s="1"/>
  <c r="A49" i="7"/>
  <c r="D49" i="7" s="1"/>
  <c r="A52" i="7"/>
  <c r="D52" i="7" s="1"/>
  <c r="A47" i="7"/>
  <c r="D47" i="7" s="1"/>
  <c r="A43" i="7"/>
  <c r="D43" i="7" s="1"/>
  <c r="A42" i="7"/>
  <c r="D42" i="7" s="1"/>
  <c r="A45" i="7"/>
  <c r="D45" i="7" s="1"/>
  <c r="A40" i="7"/>
  <c r="D40" i="7" s="1"/>
  <c r="A41" i="7"/>
  <c r="D41" i="7" s="1"/>
  <c r="A44" i="7"/>
  <c r="D44" i="7" s="1"/>
  <c r="A33" i="7"/>
  <c r="D33" i="7" s="1"/>
  <c r="A35" i="7"/>
  <c r="D35" i="7" s="1"/>
  <c r="A37" i="7"/>
  <c r="D37" i="7" s="1"/>
  <c r="A36" i="7"/>
  <c r="D36" i="7" s="1"/>
  <c r="A34" i="7"/>
  <c r="D34" i="7" s="1"/>
  <c r="A38" i="7"/>
  <c r="D38" i="7" s="1"/>
  <c r="P27" i="6" l="1"/>
  <c r="A135" i="7" s="1"/>
  <c r="D135" i="7" s="1"/>
  <c r="H27" i="6"/>
  <c r="A131" i="7" s="1"/>
  <c r="D131" i="7" s="1"/>
  <c r="R27" i="6"/>
  <c r="A136" i="7" s="1"/>
  <c r="D136" i="7" s="1"/>
  <c r="J27" i="6"/>
  <c r="A132" i="7" s="1"/>
  <c r="D132" i="7" s="1"/>
  <c r="A130" i="7"/>
  <c r="D130" i="7" s="1"/>
  <c r="L27" i="6"/>
  <c r="A133" i="7" s="1"/>
  <c r="D133" i="7" s="1"/>
  <c r="G27" i="6"/>
  <c r="B130" i="7" s="1"/>
  <c r="N27" i="6"/>
  <c r="A134" i="7" s="1"/>
  <c r="D134" i="7" s="1"/>
  <c r="F28" i="6" a="1"/>
  <c r="F28" i="6" s="1"/>
  <c r="S26" i="6"/>
  <c r="B129" i="7" s="1"/>
  <c r="K26" i="6"/>
  <c r="B125" i="7" s="1"/>
  <c r="O25" i="6"/>
  <c r="Q25" i="6"/>
  <c r="A123" i="7"/>
  <c r="D123" i="7" s="1"/>
  <c r="H26" i="6"/>
  <c r="A124" i="7" s="1"/>
  <c r="D124" i="7" s="1"/>
  <c r="L26" i="6"/>
  <c r="A126" i="7" s="1"/>
  <c r="D126" i="7" s="1"/>
  <c r="J26" i="6"/>
  <c r="A125" i="7" s="1"/>
  <c r="D125" i="7" s="1"/>
  <c r="N26" i="6"/>
  <c r="A127" i="7" s="1"/>
  <c r="D127" i="7" s="1"/>
  <c r="R26" i="6"/>
  <c r="A129" i="7" s="1"/>
  <c r="D129" i="7" s="1"/>
  <c r="P26" i="6"/>
  <c r="A128" i="7" s="1"/>
  <c r="D128" i="7" s="1"/>
  <c r="G26" i="6"/>
  <c r="B123" i="7" s="1"/>
  <c r="I26" i="6"/>
  <c r="B124" i="7" s="1"/>
  <c r="M25" i="6"/>
  <c r="I27" i="6"/>
  <c r="B131" i="7" s="1"/>
  <c r="K27" i="6"/>
  <c r="B132" i="7" s="1"/>
  <c r="S27" i="6"/>
  <c r="B136" i="7" s="1"/>
  <c r="B107" i="7"/>
  <c r="B106" i="7"/>
  <c r="B113" i="7"/>
  <c r="M22" i="6"/>
  <c r="B105" i="7" s="1"/>
  <c r="K22" i="6"/>
  <c r="B104" i="7" s="1"/>
  <c r="B112" i="7"/>
  <c r="B119" i="7"/>
  <c r="B115" i="7"/>
  <c r="A103" i="7"/>
  <c r="D103" i="7" s="1"/>
  <c r="B114" i="7"/>
  <c r="B121" i="7"/>
  <c r="B111" i="7"/>
  <c r="B122" i="7"/>
  <c r="B118" i="7"/>
  <c r="B120" i="7"/>
  <c r="A104" i="7"/>
  <c r="D104" i="7" s="1"/>
  <c r="I39" i="8" a="1"/>
  <c r="I39" i="8" s="1"/>
  <c r="D38" i="8" a="1"/>
  <c r="D38" i="8" s="1"/>
  <c r="E39" i="8" a="1"/>
  <c r="E39" i="8" s="1"/>
  <c r="F38" i="8" a="1"/>
  <c r="F38" i="8" s="1"/>
  <c r="E38" i="8" a="1"/>
  <c r="E38" i="8" s="1"/>
  <c r="H39" i="8" a="1"/>
  <c r="H39" i="8" s="1"/>
  <c r="C38" i="8" a="1"/>
  <c r="C38" i="8" s="1"/>
  <c r="G38" i="8" a="1"/>
  <c r="G38" i="8" s="1"/>
  <c r="G39" i="8" a="1"/>
  <c r="G39" i="8" s="1"/>
  <c r="F39" i="8" a="1"/>
  <c r="F39" i="8" s="1"/>
  <c r="H38" i="8" a="1"/>
  <c r="H38" i="8" s="1"/>
  <c r="D39" i="8" a="1"/>
  <c r="D39" i="8" s="1"/>
  <c r="C39" i="8" a="1"/>
  <c r="C39" i="8" s="1"/>
  <c r="I38" i="8" a="1"/>
  <c r="I38" i="8" s="1"/>
  <c r="A107" i="7"/>
  <c r="D107" i="7" s="1"/>
  <c r="A106" i="7"/>
  <c r="D106" i="7" s="1"/>
  <c r="B108" i="7"/>
  <c r="A108" i="7"/>
  <c r="D108" i="7" s="1"/>
  <c r="B101" i="7"/>
  <c r="B102" i="7"/>
  <c r="A105" i="7"/>
  <c r="D105" i="7" s="1"/>
  <c r="A137" i="7" l="1"/>
  <c r="D137" i="7" s="1"/>
  <c r="L28" i="6"/>
  <c r="A140" i="7" s="1"/>
  <c r="D140" i="7" s="1"/>
  <c r="M27" i="6"/>
  <c r="B133" i="7" s="1"/>
  <c r="F32" i="6" a="1"/>
  <c r="F32" i="6" s="1"/>
  <c r="F33" i="6" s="1" a="1"/>
  <c r="F33" i="6" s="1"/>
  <c r="O27" i="6"/>
  <c r="B134" i="7" s="1"/>
  <c r="M26" i="6"/>
  <c r="B126" i="7" s="1"/>
  <c r="Q26" i="6"/>
  <c r="B128" i="7" s="1"/>
  <c r="R28" i="6"/>
  <c r="A143" i="7" s="1"/>
  <c r="D143" i="7" s="1"/>
  <c r="H28" i="6"/>
  <c r="A138" i="7" s="1"/>
  <c r="D138" i="7" s="1"/>
  <c r="J28" i="6"/>
  <c r="A139" i="7" s="1"/>
  <c r="D139" i="7" s="1"/>
  <c r="P28" i="6"/>
  <c r="A142" i="7" s="1"/>
  <c r="D142" i="7" s="1"/>
  <c r="N28" i="6"/>
  <c r="A141" i="7" s="1"/>
  <c r="D141" i="7" s="1"/>
  <c r="Q27" i="6"/>
  <c r="B135" i="7" s="1"/>
  <c r="G28" i="6"/>
  <c r="B137" i="7" s="1"/>
  <c r="O26" i="6"/>
  <c r="B127" i="7" s="1"/>
  <c r="M28" i="6"/>
  <c r="B140" i="7" s="1"/>
  <c r="O28" i="6"/>
  <c r="B141" i="7" s="1"/>
  <c r="K28" i="6"/>
  <c r="B139" i="7" s="1"/>
  <c r="B103" i="7"/>
  <c r="B19" i="7"/>
  <c r="E19" i="7" s="1"/>
  <c r="C57" i="8"/>
  <c r="C58" i="8"/>
  <c r="B20" i="7"/>
  <c r="E20" i="7" s="1"/>
  <c r="B24" i="7"/>
  <c r="E24" i="7" s="1"/>
  <c r="C62" i="8"/>
  <c r="C61" i="8"/>
  <c r="B23" i="7"/>
  <c r="E23" i="7" s="1"/>
  <c r="B22" i="7"/>
  <c r="E22" i="7" s="1"/>
  <c r="C60" i="8"/>
  <c r="C59" i="8"/>
  <c r="B21" i="7"/>
  <c r="E21" i="7" s="1"/>
  <c r="G33" i="6" l="1"/>
  <c r="B152" i="7" s="1"/>
  <c r="I28" i="6"/>
  <c r="B138" i="7" s="1"/>
  <c r="P32" i="6"/>
  <c r="Q32" i="6"/>
  <c r="G32" i="6"/>
  <c r="B145" i="7" s="1"/>
  <c r="A145" i="7"/>
  <c r="D145" i="7" s="1"/>
  <c r="R32" i="6"/>
  <c r="S32" i="6" s="1"/>
  <c r="L32" i="6"/>
  <c r="M32" i="6" s="1"/>
  <c r="Q28" i="6"/>
  <c r="B142" i="7" s="1"/>
  <c r="H32" i="6"/>
  <c r="I32" i="6" s="1"/>
  <c r="S28" i="6"/>
  <c r="B143" i="7" s="1"/>
  <c r="N32" i="6"/>
  <c r="O32" i="6" s="1"/>
  <c r="J32" i="6"/>
  <c r="K32" i="6" s="1"/>
  <c r="B147" i="7" s="1"/>
  <c r="F34" i="6" a="1"/>
  <c r="F34" i="6" s="1"/>
  <c r="R33" i="6"/>
  <c r="S33" i="6" s="1"/>
  <c r="B158" i="7" s="1"/>
  <c r="L33" i="6"/>
  <c r="M33" i="6" s="1"/>
  <c r="B155" i="7" s="1"/>
  <c r="H33" i="6"/>
  <c r="A153" i="7" s="1"/>
  <c r="D153" i="7" s="1"/>
  <c r="P33" i="6"/>
  <c r="Q33" i="6" s="1"/>
  <c r="J33" i="6"/>
  <c r="K33" i="6" s="1"/>
  <c r="A152" i="7"/>
  <c r="D152" i="7" s="1"/>
  <c r="N33" i="6"/>
  <c r="O33" i="6" s="1"/>
  <c r="B156" i="7" s="1"/>
  <c r="A157" i="7"/>
  <c r="D157" i="7" s="1"/>
  <c r="A146" i="7"/>
  <c r="D146" i="7" s="1"/>
  <c r="A147" i="7"/>
  <c r="D147" i="7" s="1"/>
  <c r="A148" i="7"/>
  <c r="D148" i="7" s="1"/>
  <c r="A154" i="7"/>
  <c r="D154" i="7" s="1"/>
  <c r="A149" i="7"/>
  <c r="D149" i="7" s="1"/>
  <c r="A151" i="7"/>
  <c r="D151" i="7" s="1"/>
  <c r="D36" i="8" a="1"/>
  <c r="D36" i="8" s="1"/>
  <c r="B150" i="7"/>
  <c r="A150" i="7"/>
  <c r="D150" i="7" s="1"/>
  <c r="A155" i="7" l="1"/>
  <c r="D155" i="7" s="1"/>
  <c r="L34" i="6"/>
  <c r="M34" i="6" s="1"/>
  <c r="B162" i="7" s="1"/>
  <c r="I33" i="6"/>
  <c r="B153" i="7" s="1"/>
  <c r="A156" i="7"/>
  <c r="D156" i="7" s="1"/>
  <c r="R34" i="6"/>
  <c r="S34" i="6" s="1"/>
  <c r="B165" i="7" s="1"/>
  <c r="H34" i="6"/>
  <c r="I34" i="6" s="1"/>
  <c r="B160" i="7" s="1"/>
  <c r="N34" i="6"/>
  <c r="O34" i="6" s="1"/>
  <c r="B163" i="7" s="1"/>
  <c r="P34" i="6"/>
  <c r="Q34" i="6" s="1"/>
  <c r="A159" i="7"/>
  <c r="D159" i="7" s="1"/>
  <c r="F36" i="6" a="1"/>
  <c r="F36" i="6" s="1"/>
  <c r="G34" i="6"/>
  <c r="B159" i="7" s="1"/>
  <c r="J34" i="6"/>
  <c r="A158" i="7"/>
  <c r="D158" i="7" s="1"/>
  <c r="A162" i="7"/>
  <c r="D162" i="7" s="1"/>
  <c r="F36" i="8" a="1"/>
  <c r="F36" i="8" s="1"/>
  <c r="E36" i="8" a="1"/>
  <c r="E36" i="8" s="1"/>
  <c r="C36" i="8" a="1"/>
  <c r="C36" i="8" s="1"/>
  <c r="I34" i="8" a="1"/>
  <c r="I34" i="8" s="1"/>
  <c r="C35" i="8" a="1"/>
  <c r="C35" i="8" s="1"/>
  <c r="F35" i="8" a="1"/>
  <c r="F35" i="8" s="1"/>
  <c r="G35" i="8" a="1"/>
  <c r="G35" i="8" s="1"/>
  <c r="H35" i="8" a="1"/>
  <c r="H35" i="8" s="1"/>
  <c r="I35" i="8" a="1"/>
  <c r="I35" i="8" s="1"/>
  <c r="I37" i="8" a="1"/>
  <c r="I37" i="8" s="1"/>
  <c r="F37" i="8" a="1"/>
  <c r="F37" i="8" s="1"/>
  <c r="E37" i="8" a="1"/>
  <c r="E37" i="8" s="1"/>
  <c r="G37" i="8" a="1"/>
  <c r="G37" i="8" s="1"/>
  <c r="D37" i="8" a="1"/>
  <c r="D37" i="8" s="1"/>
  <c r="H37" i="8" a="1"/>
  <c r="H37" i="8" s="1"/>
  <c r="I36" i="8" a="1"/>
  <c r="I36" i="8" s="1"/>
  <c r="D35" i="8" a="1"/>
  <c r="D35" i="8" s="1"/>
  <c r="E35" i="8" a="1"/>
  <c r="E35" i="8" s="1"/>
  <c r="C37" i="8" a="1"/>
  <c r="C37" i="8" s="1"/>
  <c r="G34" i="8" a="1"/>
  <c r="G34" i="8" s="1"/>
  <c r="H36" i="8" a="1"/>
  <c r="H36" i="8" s="1"/>
  <c r="G36" i="8" a="1"/>
  <c r="G36" i="8" s="1"/>
  <c r="F34" i="8" a="1"/>
  <c r="F34" i="8" s="1"/>
  <c r="E34" i="8" a="1"/>
  <c r="E34" i="8" s="1"/>
  <c r="H34" i="8" a="1"/>
  <c r="H34" i="8" s="1"/>
  <c r="C34" i="8" a="1"/>
  <c r="C34" i="8" s="1"/>
  <c r="D33" i="8" a="1"/>
  <c r="D33" i="8" s="1"/>
  <c r="D34" i="8" a="1"/>
  <c r="D34" i="8" s="1"/>
  <c r="F33" i="8" a="1"/>
  <c r="F33" i="8" s="1"/>
  <c r="E33" i="8" a="1"/>
  <c r="E33" i="8" s="1"/>
  <c r="C33" i="8" a="1"/>
  <c r="C33" i="8" s="1"/>
  <c r="B149" i="7"/>
  <c r="G33" i="8" a="1"/>
  <c r="G33" i="8" s="1"/>
  <c r="B151" i="7"/>
  <c r="I33" i="8" a="1"/>
  <c r="I33" i="8" s="1"/>
  <c r="B157" i="7"/>
  <c r="B154" i="7"/>
  <c r="B146" i="7"/>
  <c r="B148" i="7"/>
  <c r="A160" i="7" l="1"/>
  <c r="D160" i="7" s="1"/>
  <c r="J36" i="6"/>
  <c r="A168" i="7" s="1"/>
  <c r="D168" i="7" s="1"/>
  <c r="A163" i="7"/>
  <c r="D163" i="7" s="1"/>
  <c r="A165" i="7"/>
  <c r="D165" i="7" s="1"/>
  <c r="K34" i="6"/>
  <c r="B161" i="7" s="1"/>
  <c r="A161" i="7"/>
  <c r="D161" i="7" s="1"/>
  <c r="L36" i="6"/>
  <c r="A169" i="7" s="1"/>
  <c r="D169" i="7" s="1"/>
  <c r="A166" i="7"/>
  <c r="D166" i="7" s="1"/>
  <c r="F37" i="6" a="1"/>
  <c r="F37" i="6" s="1"/>
  <c r="P36" i="6"/>
  <c r="A171" i="7" s="1"/>
  <c r="D171" i="7" s="1"/>
  <c r="G36" i="6"/>
  <c r="B166" i="7" s="1"/>
  <c r="H36" i="6"/>
  <c r="A167" i="7" s="1"/>
  <c r="D167" i="7" s="1"/>
  <c r="N36" i="6"/>
  <c r="O36" i="6" s="1"/>
  <c r="B164" i="7"/>
  <c r="A164" i="7"/>
  <c r="D164" i="7" s="1"/>
  <c r="R36" i="6"/>
  <c r="A172" i="7" s="1"/>
  <c r="D172" i="7" s="1"/>
  <c r="K36" i="6"/>
  <c r="B168" i="7" s="1"/>
  <c r="K11" i="6"/>
  <c r="B27" i="7" s="1"/>
  <c r="A27" i="7"/>
  <c r="D27" i="7" s="1"/>
  <c r="R37" i="6" l="1"/>
  <c r="A179" i="7" s="1"/>
  <c r="D179" i="7" s="1"/>
  <c r="Q36" i="6"/>
  <c r="M36" i="6"/>
  <c r="B169" i="7" s="1"/>
  <c r="B171" i="7"/>
  <c r="A173" i="7"/>
  <c r="D173" i="7" s="1"/>
  <c r="N37" i="6"/>
  <c r="O37" i="6" s="1"/>
  <c r="B177" i="7" s="1"/>
  <c r="P37" i="6"/>
  <c r="A178" i="7" s="1"/>
  <c r="D178" i="7" s="1"/>
  <c r="L37" i="6"/>
  <c r="A176" i="7" s="1"/>
  <c r="D176" i="7" s="1"/>
  <c r="G37" i="6"/>
  <c r="B173" i="7" s="1"/>
  <c r="I36" i="6"/>
  <c r="B167" i="7" s="1"/>
  <c r="H37" i="6"/>
  <c r="A174" i="7" s="1"/>
  <c r="D174" i="7" s="1"/>
  <c r="J37" i="6"/>
  <c r="A175" i="7" s="1"/>
  <c r="D175" i="7" s="1"/>
  <c r="S36" i="6"/>
  <c r="B172" i="7" s="1"/>
  <c r="F38" i="6" a="1"/>
  <c r="F38" i="6" s="1"/>
  <c r="A177" i="7"/>
  <c r="D177" i="7" s="1"/>
  <c r="B170" i="7"/>
  <c r="A170" i="7"/>
  <c r="D170" i="7" s="1"/>
  <c r="S37" i="6" l="1"/>
  <c r="B179" i="7" s="1"/>
  <c r="R38" i="6"/>
  <c r="A186" i="7" s="1"/>
  <c r="D186" i="7" s="1"/>
  <c r="Q37" i="6"/>
  <c r="B178" i="7" s="1"/>
  <c r="I37" i="6"/>
  <c r="B174" i="7" s="1"/>
  <c r="K37" i="6"/>
  <c r="B175" i="7" s="1"/>
  <c r="M37" i="6"/>
  <c r="B176" i="7" s="1"/>
  <c r="N38" i="6"/>
  <c r="A184" i="7" s="1"/>
  <c r="D184" i="7" s="1"/>
  <c r="A180" i="7"/>
  <c r="D180" i="7" s="1"/>
  <c r="G38" i="6"/>
  <c r="B180" i="7" s="1"/>
  <c r="H38" i="6"/>
  <c r="A181" i="7" s="1"/>
  <c r="D181" i="7" s="1"/>
  <c r="B26" i="8" a="1"/>
  <c r="S38" i="6"/>
  <c r="B186" i="7" s="1"/>
  <c r="P38" i="6"/>
  <c r="A185" i="7" s="1"/>
  <c r="D185" i="7" s="1"/>
  <c r="L38" i="6"/>
  <c r="A183" i="7" s="1"/>
  <c r="D183" i="7" s="1"/>
  <c r="J38" i="6"/>
  <c r="A182" i="7" s="1"/>
  <c r="D182" i="7" s="1"/>
  <c r="H33" i="8" a="1"/>
  <c r="H33" i="8" s="1"/>
  <c r="Q38" i="6" l="1"/>
  <c r="B26" i="8"/>
  <c r="G26" i="8" s="1" a="1"/>
  <c r="G26" i="8" s="1"/>
  <c r="I32" i="8" a="1"/>
  <c r="I32" i="8" s="1"/>
  <c r="D29" i="8" a="1"/>
  <c r="D29" i="8" s="1"/>
  <c r="G31" i="8" a="1"/>
  <c r="G31" i="8" s="1"/>
  <c r="C28" i="8" a="1"/>
  <c r="C28" i="8" s="1"/>
  <c r="C31" i="8" a="1"/>
  <c r="C31" i="8" s="1"/>
  <c r="F27" i="8" a="1"/>
  <c r="F27" i="8" s="1"/>
  <c r="G30" i="8" a="1"/>
  <c r="G30" i="8" s="1"/>
  <c r="D32" i="8" a="1"/>
  <c r="D32" i="8" s="1"/>
  <c r="H31" i="8" a="1"/>
  <c r="H31" i="8" s="1"/>
  <c r="E28" i="8" a="1"/>
  <c r="E28" i="8" s="1"/>
  <c r="G29" i="8" a="1"/>
  <c r="G29" i="8" s="1"/>
  <c r="D31" i="8" a="1"/>
  <c r="D31" i="8" s="1"/>
  <c r="I29" i="8" a="1"/>
  <c r="I29" i="8" s="1"/>
  <c r="C30" i="8" a="1"/>
  <c r="C30" i="8" s="1"/>
  <c r="F31" i="8" a="1"/>
  <c r="F31" i="8" s="1"/>
  <c r="H30" i="8" a="1"/>
  <c r="H30" i="8" s="1"/>
  <c r="C27" i="8" a="1"/>
  <c r="C27" i="8" s="1"/>
  <c r="G28" i="8" a="1"/>
  <c r="G28" i="8" s="1"/>
  <c r="I30" i="8" a="1"/>
  <c r="I30" i="8" s="1"/>
  <c r="F32" i="8" a="1"/>
  <c r="F32" i="8" s="1"/>
  <c r="E30" i="8" a="1"/>
  <c r="E30" i="8" s="1"/>
  <c r="F28" i="8" a="1"/>
  <c r="F28" i="8" s="1"/>
  <c r="C29" i="8" a="1"/>
  <c r="C29" i="8" s="1"/>
  <c r="I28" i="8" a="1"/>
  <c r="I28" i="8" s="1"/>
  <c r="F30" i="8" a="1"/>
  <c r="F30" i="8" s="1"/>
  <c r="I31" i="8" a="1"/>
  <c r="I31" i="8" s="1"/>
  <c r="G27" i="8" a="1"/>
  <c r="G27" i="8" s="1"/>
  <c r="H27" i="8" a="1"/>
  <c r="H27" i="8" s="1"/>
  <c r="E31" i="8" a="1"/>
  <c r="E31" i="8" s="1"/>
  <c r="D27" i="8" a="1"/>
  <c r="D27" i="8" s="1"/>
  <c r="E32" i="8" a="1"/>
  <c r="E32" i="8" s="1"/>
  <c r="H28" i="8" a="1"/>
  <c r="H28" i="8" s="1"/>
  <c r="H32" i="8" a="1"/>
  <c r="H32" i="8" s="1"/>
  <c r="D28" i="8" a="1"/>
  <c r="D28" i="8" s="1"/>
  <c r="I27" i="8" a="1"/>
  <c r="I27" i="8" s="1"/>
  <c r="G32" i="8" a="1"/>
  <c r="G32" i="8" s="1"/>
  <c r="C32" i="8" a="1"/>
  <c r="C32" i="8" s="1"/>
  <c r="D30" i="8" a="1"/>
  <c r="D30" i="8" s="1"/>
  <c r="F29" i="8" a="1"/>
  <c r="F29" i="8" s="1"/>
  <c r="H29" i="8" a="1"/>
  <c r="H29" i="8" s="1"/>
  <c r="E27" i="8" a="1"/>
  <c r="E27" i="8" s="1"/>
  <c r="E29" i="8" a="1"/>
  <c r="E29" i="8" s="1"/>
  <c r="B185" i="7"/>
  <c r="O38" i="6"/>
  <c r="B184" i="7" s="1"/>
  <c r="I38" i="6"/>
  <c r="B181" i="7" s="1"/>
  <c r="M38" i="6"/>
  <c r="M41" i="6" s="1"/>
  <c r="B198" i="7" s="1"/>
  <c r="S41" i="6"/>
  <c r="G41" i="6"/>
  <c r="B195" i="7" s="1"/>
  <c r="I26" i="8" a="1"/>
  <c r="I26" i="8" s="1"/>
  <c r="C26" i="8" a="1"/>
  <c r="C26" i="8" s="1"/>
  <c r="E26" i="8" a="1"/>
  <c r="E26" i="8" s="1"/>
  <c r="D26" i="8" a="1"/>
  <c r="D26" i="8" s="1"/>
  <c r="H26" i="8" a="1"/>
  <c r="H26" i="8" s="1"/>
  <c r="F26" i="8" a="1"/>
  <c r="F26" i="8" s="1"/>
  <c r="K38" i="6"/>
  <c r="Q41" i="6"/>
  <c r="O41" i="6" l="1"/>
  <c r="B199" i="7" s="1"/>
  <c r="B200" i="7"/>
  <c r="I41" i="6"/>
  <c r="B196" i="7" s="1"/>
  <c r="B183" i="7"/>
  <c r="B182" i="7"/>
  <c r="K41" i="6"/>
  <c r="B197" i="7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2CEBE7E-E307-4494-81AC-0A7EEEEB6A4A}" keepAlive="1" name="Query - Table003 (Page 1)" description="Connection to the 'Table003 (Page 1)' query in the workbook." type="5" refreshedVersion="0" background="1">
    <dbPr connection="Provider=Microsoft.Mashup.OleDb.1;Data Source=$Workbook$;Location=&quot;Table003 (Page 1)&quot;;Extended Properties=&quot;&quot;" command="SELECT * FROM [Table003 (Page 1)]"/>
  </connection>
  <connection id="2" xr16:uid="{BFA06419-8DB0-4A09-83E2-6457BA21F7BA}" keepAlive="1" name="Query - Table003 (Page 1) (2)" description="Connection to the 'Table003 (Page 1) (2)' query in the workbook." type="5" refreshedVersion="8" background="1" saveData="1">
    <dbPr connection="Provider=Microsoft.Mashup.OleDb.1;Data Source=$Workbook$;Location=&quot;Table003 (Page 1) (2)&quot;;Extended Properties=&quot;&quot;" command="SELECT * FROM [Table003 (Page 1) (2)]"/>
  </connection>
  <connection id="3" xr16:uid="{4EC04F48-D4B3-4E44-8585-777A4ACDB731}" keepAlive="1" name="Query - Table004 (Page 2)" description="Connection to the 'Table004 (Page 2)' query in the workbook." type="5" refreshedVersion="0" background="1">
    <dbPr connection="Provider=Microsoft.Mashup.OleDb.1;Data Source=$Workbook$;Location=&quot;Table004 (Page 2)&quot;;Extended Properties=&quot;&quot;" command="SELECT * FROM [Table004 (Page 2)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<sst xmlns="http://schemas.openxmlformats.org/spreadsheetml/2006/main" count="203" uniqueCount="116">
  <si>
    <t>FIRMA:</t>
  </si>
  <si>
    <t>MATERIALE</t>
  </si>
  <si>
    <t>Décor</t>
  </si>
  <si>
    <t>Cantitate</t>
  </si>
  <si>
    <t>23x0.8</t>
  </si>
  <si>
    <t>ABS</t>
  </si>
  <si>
    <t>Observatii:</t>
  </si>
  <si>
    <t>Data:</t>
  </si>
  <si>
    <t>Nr. comanda</t>
  </si>
  <si>
    <t>PAL</t>
  </si>
  <si>
    <t>MDF</t>
  </si>
  <si>
    <t>PFL</t>
  </si>
  <si>
    <t>Blat</t>
  </si>
  <si>
    <t>Buc</t>
  </si>
  <si>
    <t>Centralizator materiale</t>
  </si>
  <si>
    <t>UTILAJ:</t>
  </si>
  <si>
    <t>23/0.8</t>
  </si>
  <si>
    <t>Cod Pal</t>
  </si>
  <si>
    <t>43/2</t>
  </si>
  <si>
    <t>23/2</t>
  </si>
  <si>
    <t>CUT HDF</t>
  </si>
  <si>
    <t>CUT MDF</t>
  </si>
  <si>
    <t>CUT PAL</t>
  </si>
  <si>
    <t>DUBL_PAL</t>
  </si>
  <si>
    <t>Cant 23/0.8</t>
  </si>
  <si>
    <t>Cant 23/2</t>
  </si>
  <si>
    <t>Cant 43/2</t>
  </si>
  <si>
    <t>CHLTTRMANIP</t>
  </si>
  <si>
    <t>22/0.4</t>
  </si>
  <si>
    <t>22/1</t>
  </si>
  <si>
    <t>Cant 22/1</t>
  </si>
  <si>
    <t>CUT BLAT 920</t>
  </si>
  <si>
    <t>CUT PS</t>
  </si>
  <si>
    <t>CUT BLAT 600</t>
  </si>
  <si>
    <t>Proiectare</t>
  </si>
  <si>
    <t>01PRO</t>
  </si>
  <si>
    <t xml:space="preserve">FIȘĂ COMANDĂ </t>
  </si>
  <si>
    <t>Iulian Necula</t>
  </si>
  <si>
    <t>Adrian Mărgărit</t>
  </si>
  <si>
    <t>Dan Slotea</t>
  </si>
  <si>
    <t>Liliana Chiriță</t>
  </si>
  <si>
    <t>David Constantin</t>
  </si>
  <si>
    <t>Ofertă</t>
  </si>
  <si>
    <t>Debitare căntuire</t>
  </si>
  <si>
    <t>Modificare proiect</t>
  </si>
  <si>
    <t>Recalculare după modificarea prețurilor</t>
  </si>
  <si>
    <t>Comandă după ofertă</t>
  </si>
  <si>
    <t>Titlu proiect:</t>
  </si>
  <si>
    <t>Nr proiect:</t>
  </si>
  <si>
    <t>Client:</t>
  </si>
  <si>
    <t>SERVICII</t>
  </si>
  <si>
    <t>U.M.</t>
  </si>
  <si>
    <t>mp</t>
  </si>
  <si>
    <t>ml</t>
  </si>
  <si>
    <t>buc</t>
  </si>
  <si>
    <t>Comandă (cu work preparation)</t>
  </si>
  <si>
    <t>Mobilier în Roomdesigner</t>
  </si>
  <si>
    <t>CLIENT</t>
  </si>
  <si>
    <t>PLAN M</t>
  </si>
  <si>
    <t>Tip proiect:</t>
  </si>
  <si>
    <t>Tip Solicitare:</t>
  </si>
  <si>
    <t>Preluat de:</t>
  </si>
  <si>
    <t>Proiectat de:</t>
  </si>
  <si>
    <t>Decor</t>
  </si>
  <si>
    <t>Data Rev.</t>
  </si>
  <si>
    <t>OBSERVAȚII</t>
  </si>
  <si>
    <t>PFL SUBȚIRE</t>
  </si>
  <si>
    <t>Denumire</t>
  </si>
  <si>
    <t>43/1.5</t>
  </si>
  <si>
    <t>Alege Motivul Reviziei</t>
  </si>
  <si>
    <t>Rev.</t>
  </si>
  <si>
    <t>Cant.</t>
  </si>
  <si>
    <t>Aplicare ABS (ml)</t>
  </si>
  <si>
    <t>ABS (ml)</t>
  </si>
  <si>
    <t>22x0.4</t>
  </si>
  <si>
    <t>23x2</t>
  </si>
  <si>
    <t>43x1.5</t>
  </si>
  <si>
    <t>43x2</t>
  </si>
  <si>
    <t>BLAT DE MASĂ</t>
  </si>
  <si>
    <t>PANOURI SPATE</t>
  </si>
  <si>
    <t>43/1</t>
  </si>
  <si>
    <t>Debitare Pal</t>
  </si>
  <si>
    <t>Deb Blat / 600</t>
  </si>
  <si>
    <t>Debitare PFL</t>
  </si>
  <si>
    <t>Debitare MDF</t>
  </si>
  <si>
    <t>Dublaje</t>
  </si>
  <si>
    <t>Ambalare</t>
  </si>
  <si>
    <t>Deb Blat / 920</t>
  </si>
  <si>
    <t>Debitare Cleaf</t>
  </si>
  <si>
    <t>Debitare Panou</t>
  </si>
  <si>
    <t>Cant 22/0.4</t>
  </si>
  <si>
    <t>Cant 43/1</t>
  </si>
  <si>
    <t>CUT CLEAF</t>
  </si>
  <si>
    <t>22x1</t>
  </si>
  <si>
    <t>43x1</t>
  </si>
  <si>
    <t>Panou Spate</t>
  </si>
  <si>
    <t>.</t>
  </si>
  <si>
    <t>Denisa Manea</t>
  </si>
  <si>
    <t>Grosime</t>
  </si>
  <si>
    <t>Cant</t>
  </si>
  <si>
    <t>Lung</t>
  </si>
  <si>
    <t>Lat</t>
  </si>
  <si>
    <t>m patrati</t>
  </si>
  <si>
    <t>Tip Decor</t>
  </si>
  <si>
    <t>Cod Decor</t>
  </si>
  <si>
    <t>Cod</t>
  </si>
  <si>
    <t>Valoare</t>
  </si>
  <si>
    <t>Cod DB</t>
  </si>
  <si>
    <t>PALEȚI</t>
  </si>
  <si>
    <t>N</t>
  </si>
  <si>
    <t>S</t>
  </si>
  <si>
    <t>Pasi</t>
  </si>
  <si>
    <t>Da</t>
  </si>
  <si>
    <t>Nu</t>
  </si>
  <si>
    <t>Status</t>
  </si>
  <si>
    <t>Status  Dublaj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</si>
</sst>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[$-409]d\-mmm\-yyyy;@"/>
    <numFmt numFmtId="165" formatCode="0.000"/>
    <numFmt numFmtId="166" formatCode="0.0"/>
    <numFmt numFmtId="167" formatCode="0.0000"/>
    <numFmt numFmtId="168" formatCode="0.00000"/>
  </numFmts>
  <fonts count="15">
    <font>
      <sz val="11"/>
      <color theme="1"/>
      <name val="Calibri"/>
      <family val="2"/>
      <scheme val="minor"/>
    </font>
    <font>
      <sz val="14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1"/>
      <name val="Arial"/>
      <family val="2"/>
    </font>
    <font>
      <b/>
      <sz val="20"/>
      <name val="Arial"/>
      <family val="2"/>
    </font>
    <font>
      <sz val="11"/>
      <name val="Arial"/>
      <family val="2"/>
    </font>
    <font>
      <sz val="8"/>
      <name val="Calibri"/>
      <family val="2"/>
      <scheme val="minor"/>
    </font>
    <font>
      <sz val="10"/>
      <color rgb="FF000000"/>
      <name val="Times New Roman"/>
      <family val="1"/>
    </font>
    <font>
      <sz val="9"/>
      <name val="Arial MT"/>
    </font>
    <font>
      <sz val="9"/>
      <color rgb="FF000000"/>
      <name val="Arial MT"/>
      <family val="2"/>
    </font>
    <font>
      <sz val="10"/>
      <color rgb="FF000000"/>
      <name val="Times New Roman"/>
      <charset val="204"/>
    </font>
  </fonts>
  <fills count="9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/>
      <bottom/>
      <diagonal/>
    </border>
  </borders>
  <cellStyleXfs count="5">
    <xf numFmtId="0" fontId="0" fillId="0" borderId="0"/>
    <xf numFmtId="0" fontId="5" fillId="0" borderId="0"/>
    <xf numFmtId="0" fontId="4" fillId="0" borderId="0"/>
    <xf numFmtId="0" fontId="11" fillId="0" borderId="0"/>
    <xf numFmtId="0" fontId="14" fillId="0" borderId="0"/>
  </cellStyleXfs>
  <cellXfs count="245">
    <xf numFmtId="0" fontId="0" fillId="0" borderId="0" xfId="0"/>
    <xf numFmtId="0" fontId="2" fillId="0" borderId="0" xfId="0" applyFont="1" applyAlignment="1" applyProtection="1">
      <alignment horizontal="center"/>
      <protection locked="0"/>
    </xf>
    <xf numFmtId="0" fontId="2" fillId="0" borderId="0" xfId="0" applyFont="1" applyAlignment="1">
      <alignment horizontal="center"/>
    </xf>
    <xf numFmtId="0" fontId="0" fillId="0" borderId="0" xfId="0" applyAlignment="1" applyProtection="1">
      <alignment horizontal="center"/>
      <protection locked="0"/>
    </xf>
    <xf numFmtId="0" fontId="0" fillId="0" borderId="0" xfId="0" applyProtection="1">
      <protection locked="0"/>
    </xf>
    <xf numFmtId="0" fontId="0" fillId="0" borderId="0" xfId="0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49" fontId="0" fillId="0" borderId="0" xfId="0" applyNumberFormat="1" applyAlignment="1">
      <alignment horizontal="left" vertical="top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/>
    </xf>
    <xf numFmtId="49" fontId="0" fillId="0" borderId="2" xfId="0" applyNumberFormat="1" applyBorder="1" applyAlignment="1">
      <alignment horizontal="center"/>
    </xf>
    <xf numFmtId="49" fontId="0" fillId="0" borderId="0" xfId="0" applyNumberFormat="1" applyAlignment="1" applyProtection="1">
      <alignment vertical="top" wrapText="1"/>
      <protection locked="0"/>
    </xf>
    <xf numFmtId="0" fontId="0" fillId="0" borderId="0" xfId="0" applyAlignment="1" applyProtection="1">
      <alignment vertical="top" wrapText="1"/>
      <protection locked="0"/>
    </xf>
    <xf numFmtId="0" fontId="1" fillId="0" borderId="0" xfId="0" applyFont="1" applyAlignment="1">
      <alignment horizontal="center" vertical="center"/>
    </xf>
    <xf numFmtId="0" fontId="3" fillId="0" borderId="16" xfId="0" applyFont="1" applyBorder="1" applyAlignment="1">
      <alignment horizontal="center"/>
    </xf>
    <xf numFmtId="49" fontId="3" fillId="2" borderId="14" xfId="0" applyNumberFormat="1" applyFont="1" applyFill="1" applyBorder="1" applyAlignment="1">
      <alignment horizontal="center"/>
    </xf>
    <xf numFmtId="0" fontId="3" fillId="0" borderId="24" xfId="0" applyFont="1" applyBorder="1" applyAlignment="1">
      <alignment horizontal="left"/>
    </xf>
    <xf numFmtId="0" fontId="3" fillId="0" borderId="25" xfId="0" applyFont="1" applyBorder="1" applyAlignment="1">
      <alignment horizontal="left"/>
    </xf>
    <xf numFmtId="0" fontId="3" fillId="0" borderId="26" xfId="0" applyFont="1" applyBorder="1" applyAlignment="1">
      <alignment horizontal="left"/>
    </xf>
    <xf numFmtId="0" fontId="3" fillId="0" borderId="13" xfId="0" applyFont="1" applyBorder="1" applyAlignment="1">
      <alignment horizontal="center"/>
    </xf>
    <xf numFmtId="0" fontId="3" fillId="0" borderId="2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3" borderId="14" xfId="0" applyFont="1" applyFill="1" applyBorder="1" applyAlignment="1">
      <alignment horizontal="center"/>
    </xf>
    <xf numFmtId="0" fontId="9" fillId="6" borderId="5" xfId="0" applyFont="1" applyFill="1" applyBorder="1" applyAlignment="1">
      <alignment horizontal="center"/>
    </xf>
    <xf numFmtId="0" fontId="9" fillId="6" borderId="6" xfId="0" applyFont="1" applyFill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3" fillId="0" borderId="24" xfId="0" applyFont="1" applyBorder="1" applyAlignment="1">
      <alignment horizontal="center"/>
    </xf>
    <xf numFmtId="0" fontId="3" fillId="0" borderId="5" xfId="0" applyFont="1" applyBorder="1" applyAlignment="1" applyProtection="1">
      <alignment horizontal="left" vertical="top"/>
      <protection locked="0"/>
    </xf>
    <xf numFmtId="0" fontId="3" fillId="0" borderId="4" xfId="0" applyFont="1" applyBorder="1" applyAlignment="1">
      <alignment horizontal="center"/>
    </xf>
    <xf numFmtId="0" fontId="3" fillId="0" borderId="4" xfId="0" applyFont="1" applyBorder="1" applyAlignment="1" applyProtection="1">
      <alignment horizontal="left" vertical="top"/>
      <protection locked="0"/>
    </xf>
    <xf numFmtId="0" fontId="3" fillId="0" borderId="6" xfId="0" applyFont="1" applyBorder="1" applyAlignment="1">
      <alignment horizontal="left" vertical="top"/>
    </xf>
    <xf numFmtId="0" fontId="2" fillId="0" borderId="40" xfId="0" applyFont="1" applyBorder="1" applyAlignment="1">
      <alignment horizontal="center"/>
    </xf>
    <xf numFmtId="0" fontId="3" fillId="6" borderId="13" xfId="0" applyFont="1" applyFill="1" applyBorder="1" applyAlignment="1">
      <alignment horizontal="center" vertical="center"/>
    </xf>
    <xf numFmtId="0" fontId="3" fillId="6" borderId="13" xfId="0" applyFont="1" applyFill="1" applyBorder="1" applyAlignment="1" applyProtection="1">
      <alignment horizontal="center" vertical="center"/>
      <protection locked="0"/>
    </xf>
    <xf numFmtId="0" fontId="6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top"/>
    </xf>
    <xf numFmtId="0" fontId="9" fillId="6" borderId="4" xfId="0" applyFont="1" applyFill="1" applyBorder="1" applyAlignment="1">
      <alignment horizontal="center"/>
    </xf>
    <xf numFmtId="0" fontId="2" fillId="0" borderId="36" xfId="0" applyFont="1" applyBorder="1" applyAlignment="1">
      <alignment horizontal="center"/>
    </xf>
    <xf numFmtId="0" fontId="3" fillId="0" borderId="11" xfId="0" applyFont="1" applyBorder="1"/>
    <xf numFmtId="0" fontId="3" fillId="7" borderId="14" xfId="0" applyFont="1" applyFill="1" applyBorder="1" applyAlignment="1">
      <alignment horizontal="center"/>
    </xf>
    <xf numFmtId="0" fontId="3" fillId="6" borderId="14" xfId="0" applyFont="1" applyFill="1" applyBorder="1" applyAlignment="1">
      <alignment horizontal="center"/>
    </xf>
    <xf numFmtId="0" fontId="2" fillId="6" borderId="0" xfId="0" applyFont="1" applyFill="1" applyAlignment="1" applyProtection="1">
      <alignment horizontal="center"/>
      <protection locked="0"/>
    </xf>
    <xf numFmtId="0" fontId="2" fillId="6" borderId="0" xfId="0" applyFont="1" applyFill="1" applyAlignment="1">
      <alignment horizontal="center"/>
    </xf>
    <xf numFmtId="0" fontId="3" fillId="0" borderId="39" xfId="0" applyFont="1" applyBorder="1" applyAlignment="1" applyProtection="1">
      <alignment horizontal="left" vertical="top"/>
      <protection locked="0"/>
    </xf>
    <xf numFmtId="0" fontId="0" fillId="6" borderId="0" xfId="0" applyFill="1"/>
    <xf numFmtId="49" fontId="3" fillId="4" borderId="14" xfId="0" applyNumberFormat="1" applyFont="1" applyFill="1" applyBorder="1" applyAlignment="1">
      <alignment horizontal="center"/>
    </xf>
    <xf numFmtId="0" fontId="6" fillId="6" borderId="0" xfId="0" applyFont="1" applyFill="1" applyAlignment="1">
      <alignment horizontal="center" vertical="center"/>
    </xf>
    <xf numFmtId="0" fontId="6" fillId="6" borderId="0" xfId="0" applyFont="1" applyFill="1" applyAlignment="1">
      <alignment vertical="center"/>
    </xf>
    <xf numFmtId="0" fontId="6" fillId="6" borderId="0" xfId="0" applyFont="1" applyFill="1" applyAlignment="1">
      <alignment horizontal="center"/>
    </xf>
    <xf numFmtId="0" fontId="6" fillId="6" borderId="0" xfId="0" applyFont="1" applyFill="1" applyAlignment="1">
      <alignment horizontal="center" vertical="center" wrapText="1"/>
    </xf>
    <xf numFmtId="0" fontId="2" fillId="0" borderId="4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6" fillId="0" borderId="35" xfId="0" applyFont="1" applyBorder="1" applyAlignment="1">
      <alignment horizontal="center"/>
    </xf>
    <xf numFmtId="0" fontId="3" fillId="0" borderId="0" xfId="0" applyFont="1" applyAlignment="1">
      <alignment vertical="center"/>
    </xf>
    <xf numFmtId="0" fontId="3" fillId="0" borderId="12" xfId="0" applyFont="1" applyBorder="1" applyAlignment="1">
      <alignment vertical="center"/>
    </xf>
    <xf numFmtId="0" fontId="2" fillId="6" borderId="17" xfId="0" applyFont="1" applyFill="1" applyBorder="1" applyAlignment="1">
      <alignment horizontal="center"/>
    </xf>
    <xf numFmtId="0" fontId="2" fillId="6" borderId="12" xfId="0" applyFont="1" applyFill="1" applyBorder="1" applyAlignment="1">
      <alignment horizontal="center"/>
    </xf>
    <xf numFmtId="0" fontId="7" fillId="6" borderId="14" xfId="0" applyFont="1" applyFill="1" applyBorder="1" applyAlignment="1">
      <alignment horizontal="center"/>
    </xf>
    <xf numFmtId="49" fontId="3" fillId="6" borderId="15" xfId="0" applyNumberFormat="1" applyFont="1" applyFill="1" applyBorder="1" applyAlignment="1">
      <alignment horizontal="center"/>
    </xf>
    <xf numFmtId="0" fontId="3" fillId="6" borderId="15" xfId="0" applyFont="1" applyFill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41" xfId="0" applyFont="1" applyBorder="1" applyAlignment="1">
      <alignment horizontal="center"/>
    </xf>
    <xf numFmtId="0" fontId="2" fillId="0" borderId="42" xfId="0" applyFont="1" applyBorder="1" applyAlignment="1">
      <alignment horizontal="center"/>
    </xf>
    <xf numFmtId="0" fontId="2" fillId="0" borderId="43" xfId="0" applyFont="1" applyBorder="1" applyAlignment="1">
      <alignment horizontal="center"/>
    </xf>
    <xf numFmtId="0" fontId="7" fillId="8" borderId="14" xfId="0" applyFont="1" applyFill="1" applyBorder="1" applyAlignment="1">
      <alignment horizontal="center"/>
    </xf>
    <xf numFmtId="0" fontId="2" fillId="6" borderId="1" xfId="0" applyFont="1" applyFill="1" applyBorder="1" applyAlignment="1" applyProtection="1">
      <alignment horizontal="center" vertical="center"/>
      <protection locked="0"/>
    </xf>
    <xf numFmtId="0" fontId="2" fillId="6" borderId="10" xfId="0" applyFont="1" applyFill="1" applyBorder="1" applyAlignment="1" applyProtection="1">
      <alignment horizontal="center" vertical="center"/>
      <protection locked="0"/>
    </xf>
    <xf numFmtId="0" fontId="2" fillId="0" borderId="17" xfId="0" applyFont="1" applyBorder="1" applyAlignment="1">
      <alignment horizontal="center"/>
    </xf>
    <xf numFmtId="0" fontId="0" fillId="6" borderId="0" xfId="0" applyFill="1" applyAlignment="1">
      <alignment horizontal="center"/>
    </xf>
    <xf numFmtId="0" fontId="0" fillId="0" borderId="22" xfId="0" applyBorder="1"/>
    <xf numFmtId="0" fontId="0" fillId="6" borderId="15" xfId="0" applyFill="1" applyBorder="1"/>
    <xf numFmtId="0" fontId="0" fillId="0" borderId="15" xfId="0" applyBorder="1"/>
    <xf numFmtId="0" fontId="2" fillId="6" borderId="7" xfId="0" applyFont="1" applyFill="1" applyBorder="1" applyAlignment="1" applyProtection="1">
      <alignment horizontal="center" vertical="center"/>
      <protection locked="0"/>
    </xf>
    <xf numFmtId="0" fontId="2" fillId="8" borderId="9" xfId="0" applyFont="1" applyFill="1" applyBorder="1" applyAlignment="1">
      <alignment horizontal="center"/>
    </xf>
    <xf numFmtId="0" fontId="2" fillId="8" borderId="4" xfId="0" applyFont="1" applyFill="1" applyBorder="1" applyAlignment="1">
      <alignment horizontal="center"/>
    </xf>
    <xf numFmtId="0" fontId="2" fillId="8" borderId="8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4" borderId="5" xfId="0" applyFont="1" applyFill="1" applyBorder="1" applyAlignment="1">
      <alignment horizontal="center"/>
    </xf>
    <xf numFmtId="0" fontId="2" fillId="4" borderId="9" xfId="0" applyFont="1" applyFill="1" applyBorder="1" applyAlignment="1">
      <alignment horizontal="center"/>
    </xf>
    <xf numFmtId="0" fontId="2" fillId="4" borderId="8" xfId="0" applyFont="1" applyFill="1" applyBorder="1" applyAlignment="1">
      <alignment horizontal="center"/>
    </xf>
    <xf numFmtId="0" fontId="2" fillId="4" borderId="6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3" borderId="9" xfId="0" applyFont="1" applyFill="1" applyBorder="1" applyAlignment="1">
      <alignment horizontal="center"/>
    </xf>
    <xf numFmtId="0" fontId="2" fillId="3" borderId="8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0" fillId="0" borderId="44" xfId="0" applyBorder="1"/>
    <xf numFmtId="0" fontId="0" fillId="0" borderId="3" xfId="0" applyBorder="1"/>
    <xf numFmtId="0" fontId="2" fillId="0" borderId="45" xfId="0" applyFont="1" applyBorder="1" applyAlignment="1">
      <alignment horizontal="center"/>
    </xf>
    <xf numFmtId="165" fontId="0" fillId="0" borderId="0" xfId="0" applyNumberFormat="1"/>
    <xf numFmtId="0" fontId="12" fillId="0" borderId="0" xfId="3" applyFont="1" applyAlignment="1">
      <alignment horizontal="left" vertical="top" wrapText="1"/>
    </xf>
    <xf numFmtId="1" fontId="13" fillId="0" borderId="0" xfId="3" applyNumberFormat="1" applyFont="1" applyAlignment="1">
      <alignment horizontal="right" vertical="top" shrinkToFit="1"/>
    </xf>
    <xf numFmtId="1" fontId="13" fillId="0" borderId="0" xfId="3" applyNumberFormat="1" applyFont="1" applyAlignment="1">
      <alignment horizontal="right" vertical="top" indent="1" shrinkToFit="1"/>
    </xf>
    <xf numFmtId="166" fontId="13" fillId="0" borderId="0" xfId="3" applyNumberFormat="1" applyFont="1" applyAlignment="1">
      <alignment horizontal="right" vertical="top" shrinkToFit="1"/>
    </xf>
    <xf numFmtId="166" fontId="13" fillId="0" borderId="0" xfId="3" applyNumberFormat="1" applyFont="1" applyAlignment="1">
      <alignment horizontal="center" vertical="top" shrinkToFit="1"/>
    </xf>
    <xf numFmtId="0" fontId="2" fillId="0" borderId="39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8" borderId="11" xfId="0" applyFont="1" applyFill="1" applyBorder="1" applyAlignment="1">
      <alignment horizontal="center"/>
    </xf>
    <xf numFmtId="0" fontId="2" fillId="4" borderId="11" xfId="0" applyFont="1" applyFill="1" applyBorder="1" applyAlignment="1">
      <alignment horizontal="center"/>
    </xf>
    <xf numFmtId="0" fontId="2" fillId="3" borderId="1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2" fontId="13" fillId="0" borderId="0" xfId="3" applyNumberFormat="1" applyFont="1" applyAlignment="1">
      <alignment horizontal="right" vertical="top" shrinkToFit="1"/>
    </xf>
    <xf numFmtId="0" fontId="0" fillId="0" borderId="47" xfId="0" applyBorder="1"/>
    <xf numFmtId="0" fontId="0" fillId="0" borderId="46" xfId="0" applyBorder="1"/>
    <xf numFmtId="0" fontId="12" fillId="0" borderId="0" xfId="0" applyFont="1" applyAlignment="1">
      <alignment horizontal="left" vertical="top" wrapText="1" indent="2"/>
    </xf>
    <xf numFmtId="1" fontId="13" fillId="0" borderId="0" xfId="0" applyNumberFormat="1" applyFont="1" applyAlignment="1">
      <alignment horizontal="right" vertical="top" shrinkToFit="1"/>
    </xf>
    <xf numFmtId="1" fontId="13" fillId="0" borderId="0" xfId="0" applyNumberFormat="1" applyFont="1" applyAlignment="1">
      <alignment horizontal="right" vertical="top" indent="1" shrinkToFit="1"/>
    </xf>
    <xf numFmtId="1" fontId="13" fillId="0" borderId="0" xfId="0" applyNumberFormat="1" applyFont="1" applyAlignment="1">
      <alignment horizontal="center" vertical="top" shrinkToFit="1"/>
    </xf>
    <xf numFmtId="2" fontId="13" fillId="0" borderId="0" xfId="0" applyNumberFormat="1" applyFont="1" applyAlignment="1">
      <alignment horizontal="right" vertical="top" indent="2" shrinkToFit="1"/>
    </xf>
    <xf numFmtId="166" fontId="13" fillId="0" borderId="0" xfId="0" applyNumberFormat="1" applyFont="1" applyAlignment="1">
      <alignment horizontal="right" vertical="top" shrinkToFit="1"/>
    </xf>
    <xf numFmtId="2" fontId="13" fillId="0" borderId="0" xfId="0" applyNumberFormat="1" applyFont="1" applyAlignment="1">
      <alignment horizontal="right" vertical="top" shrinkToFit="1"/>
    </xf>
    <xf numFmtId="167" fontId="13" fillId="0" borderId="0" xfId="0" applyNumberFormat="1" applyFont="1" applyAlignment="1">
      <alignment horizontal="right" vertical="top" shrinkToFit="1"/>
    </xf>
    <xf numFmtId="166" fontId="13" fillId="0" borderId="0" xfId="0" applyNumberFormat="1" applyFont="1" applyAlignment="1">
      <alignment horizontal="right" vertical="top" indent="2" shrinkToFit="1"/>
    </xf>
    <xf numFmtId="1" fontId="13" fillId="0" borderId="0" xfId="0" applyNumberFormat="1" applyFont="1" applyAlignment="1">
      <alignment vertical="top" shrinkToFit="1"/>
    </xf>
    <xf numFmtId="1" fontId="13" fillId="0" borderId="0" xfId="3" applyNumberFormat="1" applyFont="1" applyAlignment="1">
      <alignment vertical="top" shrinkToFit="1"/>
    </xf>
    <xf numFmtId="166" fontId="13" fillId="0" borderId="0" xfId="4" applyNumberFormat="1" applyFont="1" applyAlignment="1">
      <alignment horizontal="right" vertical="top" shrinkToFit="1"/>
    </xf>
    <xf numFmtId="168" fontId="0" fillId="0" borderId="0" xfId="0" applyNumberFormat="1"/>
    <xf numFmtId="168" fontId="13" fillId="0" borderId="48" xfId="3" applyNumberFormat="1" applyFont="1" applyBorder="1" applyAlignment="1">
      <alignment vertical="top" shrinkToFit="1"/>
    </xf>
    <xf numFmtId="168" fontId="13" fillId="0" borderId="0" xfId="0" applyNumberFormat="1" applyFont="1" applyAlignment="1">
      <alignment vertical="top" shrinkToFit="1"/>
    </xf>
    <xf numFmtId="2" fontId="0" fillId="0" borderId="0" xfId="0" applyNumberFormat="1"/>
    <xf numFmtId="0" fontId="2" fillId="0" borderId="18" xfId="0" applyFont="1" applyBorder="1" applyAlignment="1">
      <alignment vertical="top"/>
    </xf>
    <xf numFmtId="0" fontId="2" fillId="0" borderId="19" xfId="0" applyFont="1" applyBorder="1" applyAlignment="1">
      <alignment vertical="top"/>
    </xf>
    <xf numFmtId="0" fontId="2" fillId="0" borderId="20" xfId="0" applyFont="1" applyBorder="1" applyAlignment="1">
      <alignment vertical="top"/>
    </xf>
    <xf numFmtId="0" fontId="2" fillId="0" borderId="17" xfId="0" applyFont="1" applyBorder="1" applyAlignment="1">
      <alignment vertical="top"/>
    </xf>
    <xf numFmtId="0" fontId="2" fillId="0" borderId="12" xfId="0" applyFont="1" applyBorder="1" applyAlignment="1">
      <alignment vertical="top"/>
    </xf>
    <xf numFmtId="0" fontId="2" fillId="0" borderId="0" xfId="0" applyFont="1" applyAlignment="1">
      <alignment vertical="top"/>
    </xf>
    <xf numFmtId="0" fontId="0" fillId="0" borderId="17" xfId="0" applyBorder="1"/>
    <xf numFmtId="0" fontId="0" fillId="0" borderId="12" xfId="0" applyBorder="1"/>
    <xf numFmtId="0" fontId="0" fillId="0" borderId="21" xfId="0" applyBorder="1"/>
    <xf numFmtId="0" fontId="0" fillId="0" borderId="23" xfId="0" applyBorder="1"/>
    <xf numFmtId="0" fontId="2" fillId="8" borderId="6" xfId="0" applyFont="1" applyFill="1" applyBorder="1" applyAlignment="1">
      <alignment horizontal="center"/>
    </xf>
    <xf numFmtId="0" fontId="3" fillId="8" borderId="24" xfId="0" applyFont="1" applyFill="1" applyBorder="1" applyAlignment="1">
      <alignment horizontal="center"/>
    </xf>
    <xf numFmtId="0" fontId="3" fillId="4" borderId="24" xfId="0" applyFont="1" applyFill="1" applyBorder="1" applyAlignment="1">
      <alignment horizontal="center"/>
    </xf>
    <xf numFmtId="0" fontId="3" fillId="3" borderId="24" xfId="0" applyFont="1" applyFill="1" applyBorder="1" applyAlignment="1">
      <alignment horizontal="center"/>
    </xf>
    <xf numFmtId="0" fontId="3" fillId="2" borderId="24" xfId="0" applyFont="1" applyFill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2" fillId="8" borderId="5" xfId="0" applyFont="1" applyFill="1" applyBorder="1" applyAlignment="1">
      <alignment horizontal="center"/>
    </xf>
    <xf numFmtId="0" fontId="0" fillId="8" borderId="5" xfId="0" applyFill="1" applyBorder="1" applyAlignment="1">
      <alignment horizontal="center"/>
    </xf>
    <xf numFmtId="0" fontId="0" fillId="8" borderId="9" xfId="0" applyFill="1" applyBorder="1" applyAlignment="1">
      <alignment horizontal="center"/>
    </xf>
    <xf numFmtId="0" fontId="2" fillId="4" borderId="9" xfId="0" applyFont="1" applyFill="1" applyBorder="1" applyAlignment="1" applyProtection="1">
      <alignment horizontal="center"/>
      <protection locked="0"/>
    </xf>
    <xf numFmtId="0" fontId="0" fillId="4" borderId="9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2" fillId="6" borderId="9" xfId="0" applyFont="1" applyFill="1" applyBorder="1" applyAlignment="1">
      <alignment horizontal="center"/>
    </xf>
    <xf numFmtId="0" fontId="0" fillId="6" borderId="9" xfId="0" applyFill="1" applyBorder="1" applyAlignment="1">
      <alignment horizontal="center"/>
    </xf>
    <xf numFmtId="0" fontId="0" fillId="6" borderId="9" xfId="0" applyFill="1" applyBorder="1"/>
    <xf numFmtId="0" fontId="0" fillId="0" borderId="9" xfId="0" applyBorder="1"/>
    <xf numFmtId="0" fontId="2" fillId="6" borderId="9" xfId="0" applyFont="1" applyFill="1" applyBorder="1"/>
    <xf numFmtId="0" fontId="6" fillId="0" borderId="18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0" fontId="6" fillId="0" borderId="21" xfId="0" applyFont="1" applyBorder="1" applyAlignment="1">
      <alignment horizontal="center" vertical="center" wrapText="1"/>
    </xf>
    <xf numFmtId="0" fontId="3" fillId="3" borderId="14" xfId="0" applyFont="1" applyFill="1" applyBorder="1" applyAlignment="1">
      <alignment horizontal="center"/>
    </xf>
    <xf numFmtId="0" fontId="3" fillId="3" borderId="16" xfId="0" applyFont="1" applyFill="1" applyBorder="1" applyAlignment="1">
      <alignment horizontal="center"/>
    </xf>
    <xf numFmtId="0" fontId="7" fillId="8" borderId="14" xfId="0" applyFont="1" applyFill="1" applyBorder="1" applyAlignment="1">
      <alignment horizontal="center"/>
    </xf>
    <xf numFmtId="0" fontId="7" fillId="8" borderId="16" xfId="0" applyFont="1" applyFill="1" applyBorder="1" applyAlignment="1">
      <alignment horizontal="center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6" fillId="0" borderId="41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3" fillId="0" borderId="41" xfId="0" applyFon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3" fillId="4" borderId="14" xfId="0" applyFont="1" applyFill="1" applyBorder="1" applyAlignment="1">
      <alignment horizontal="center"/>
    </xf>
    <xf numFmtId="0" fontId="3" fillId="4" borderId="16" xfId="0" applyFont="1" applyFill="1" applyBorder="1" applyAlignment="1">
      <alignment horizontal="center"/>
    </xf>
    <xf numFmtId="49" fontId="2" fillId="6" borderId="35" xfId="0" applyNumberFormat="1" applyFont="1" applyFill="1" applyBorder="1" applyAlignment="1" applyProtection="1">
      <alignment horizontal="left" vertical="center"/>
      <protection locked="0"/>
    </xf>
    <xf numFmtId="49" fontId="2" fillId="6" borderId="30" xfId="0" applyNumberFormat="1" applyFont="1" applyFill="1" applyBorder="1" applyAlignment="1" applyProtection="1">
      <alignment horizontal="left" vertical="center"/>
      <protection locked="0"/>
    </xf>
    <xf numFmtId="49" fontId="2" fillId="6" borderId="31" xfId="0" applyNumberFormat="1" applyFont="1" applyFill="1" applyBorder="1" applyAlignment="1" applyProtection="1">
      <alignment horizontal="left" vertical="center"/>
      <protection locked="0"/>
    </xf>
    <xf numFmtId="14" fontId="2" fillId="5" borderId="35" xfId="0" applyNumberFormat="1" applyFont="1" applyFill="1" applyBorder="1" applyAlignment="1" applyProtection="1">
      <alignment horizontal="center" vertical="center"/>
      <protection locked="0"/>
    </xf>
    <xf numFmtId="14" fontId="2" fillId="5" borderId="30" xfId="0" applyNumberFormat="1" applyFont="1" applyFill="1" applyBorder="1" applyAlignment="1" applyProtection="1">
      <alignment horizontal="center" vertical="center"/>
      <protection locked="0"/>
    </xf>
    <xf numFmtId="14" fontId="2" fillId="5" borderId="31" xfId="0" applyNumberFormat="1" applyFont="1" applyFill="1" applyBorder="1" applyAlignment="1" applyProtection="1">
      <alignment horizontal="center" vertical="center"/>
      <protection locked="0"/>
    </xf>
    <xf numFmtId="0" fontId="3" fillId="6" borderId="14" xfId="0" applyFont="1" applyFill="1" applyBorder="1" applyAlignment="1">
      <alignment horizontal="center" vertical="center"/>
    </xf>
    <xf numFmtId="0" fontId="3" fillId="6" borderId="15" xfId="0" applyFont="1" applyFill="1" applyBorder="1" applyAlignment="1">
      <alignment horizontal="center" vertical="center"/>
    </xf>
    <xf numFmtId="0" fontId="3" fillId="6" borderId="16" xfId="0" applyFont="1" applyFill="1" applyBorder="1" applyAlignment="1">
      <alignment horizontal="center" vertical="center"/>
    </xf>
    <xf numFmtId="0" fontId="2" fillId="5" borderId="32" xfId="0" applyFont="1" applyFill="1" applyBorder="1" applyAlignment="1">
      <alignment horizontal="center" vertical="center"/>
    </xf>
    <xf numFmtId="0" fontId="2" fillId="5" borderId="33" xfId="0" applyFont="1" applyFill="1" applyBorder="1" applyAlignment="1">
      <alignment horizontal="center" vertical="center"/>
    </xf>
    <xf numFmtId="0" fontId="2" fillId="5" borderId="34" xfId="0" applyFont="1" applyFill="1" applyBorder="1" applyAlignment="1">
      <alignment horizontal="center" vertical="center"/>
    </xf>
    <xf numFmtId="0" fontId="2" fillId="5" borderId="38" xfId="0" applyFont="1" applyFill="1" applyBorder="1" applyAlignment="1">
      <alignment horizontal="center" vertical="center"/>
    </xf>
    <xf numFmtId="0" fontId="2" fillId="5" borderId="37" xfId="0" applyFont="1" applyFill="1" applyBorder="1" applyAlignment="1">
      <alignment horizontal="center" vertical="center"/>
    </xf>
    <xf numFmtId="0" fontId="2" fillId="5" borderId="28" xfId="0" applyFont="1" applyFill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2" fillId="5" borderId="29" xfId="0" applyFont="1" applyFill="1" applyBorder="1" applyAlignment="1">
      <alignment horizontal="center" vertical="center"/>
    </xf>
    <xf numFmtId="0" fontId="2" fillId="5" borderId="30" xfId="0" applyFont="1" applyFill="1" applyBorder="1" applyAlignment="1">
      <alignment horizontal="center" vertical="center"/>
    </xf>
    <xf numFmtId="0" fontId="2" fillId="5" borderId="31" xfId="0" applyFont="1" applyFill="1" applyBorder="1" applyAlignment="1">
      <alignment horizontal="center" vertical="center"/>
    </xf>
    <xf numFmtId="49" fontId="2" fillId="6" borderId="27" xfId="0" applyNumberFormat="1" applyFont="1" applyFill="1" applyBorder="1" applyAlignment="1" applyProtection="1">
      <alignment horizontal="left" vertical="center"/>
      <protection locked="0"/>
    </xf>
    <xf numFmtId="49" fontId="2" fillId="6" borderId="33" xfId="0" applyNumberFormat="1" applyFont="1" applyFill="1" applyBorder="1" applyAlignment="1" applyProtection="1">
      <alignment horizontal="left" vertical="center"/>
      <protection locked="0"/>
    </xf>
    <xf numFmtId="49" fontId="2" fillId="6" borderId="34" xfId="0" applyNumberFormat="1" applyFont="1" applyFill="1" applyBorder="1" applyAlignment="1" applyProtection="1">
      <alignment horizontal="left" vertical="center"/>
      <protection locked="0"/>
    </xf>
    <xf numFmtId="0" fontId="2" fillId="0" borderId="35" xfId="0" applyFont="1" applyBorder="1" applyAlignment="1" applyProtection="1">
      <alignment horizontal="left" vertical="center"/>
      <protection locked="0"/>
    </xf>
    <xf numFmtId="0" fontId="2" fillId="0" borderId="30" xfId="0" applyFont="1" applyBorder="1" applyAlignment="1" applyProtection="1">
      <alignment horizontal="left" vertical="center"/>
      <protection locked="0"/>
    </xf>
    <xf numFmtId="0" fontId="2" fillId="0" borderId="31" xfId="0" applyFont="1" applyBorder="1" applyAlignment="1" applyProtection="1">
      <alignment horizontal="left" vertical="center"/>
      <protection locked="0"/>
    </xf>
    <xf numFmtId="0" fontId="2" fillId="5" borderId="35" xfId="0" applyFont="1" applyFill="1" applyBorder="1" applyAlignment="1">
      <alignment horizontal="center" vertical="center"/>
    </xf>
    <xf numFmtId="14" fontId="2" fillId="5" borderId="27" xfId="0" applyNumberFormat="1" applyFont="1" applyFill="1" applyBorder="1" applyAlignment="1" applyProtection="1">
      <alignment horizontal="center" vertical="center"/>
      <protection locked="0"/>
    </xf>
    <xf numFmtId="14" fontId="2" fillId="5" borderId="33" xfId="0" applyNumberFormat="1" applyFont="1" applyFill="1" applyBorder="1" applyAlignment="1" applyProtection="1">
      <alignment horizontal="center" vertical="center"/>
      <protection locked="0"/>
    </xf>
    <xf numFmtId="14" fontId="2" fillId="5" borderId="34" xfId="0" applyNumberFormat="1" applyFont="1" applyFill="1" applyBorder="1" applyAlignment="1" applyProtection="1">
      <alignment horizontal="center" vertical="center"/>
      <protection locked="0"/>
    </xf>
    <xf numFmtId="0" fontId="2" fillId="0" borderId="24" xfId="0" applyFont="1" applyBorder="1" applyAlignment="1" applyProtection="1">
      <alignment horizontal="center" vertical="center"/>
      <protection locked="0"/>
    </xf>
    <xf numFmtId="0" fontId="2" fillId="0" borderId="41" xfId="0" applyFont="1" applyBorder="1" applyAlignment="1" applyProtection="1">
      <alignment horizontal="center" vertical="center"/>
      <protection locked="0"/>
    </xf>
    <xf numFmtId="0" fontId="2" fillId="0" borderId="24" xfId="0" applyFont="1" applyBorder="1" applyAlignment="1">
      <alignment horizontal="center" vertical="center"/>
    </xf>
    <xf numFmtId="0" fontId="2" fillId="0" borderId="41" xfId="0" applyFont="1" applyBorder="1" applyAlignment="1">
      <alignment horizontal="center" vertical="center"/>
    </xf>
    <xf numFmtId="14" fontId="2" fillId="0" borderId="36" xfId="0" applyNumberFormat="1" applyFont="1" applyBorder="1" applyAlignment="1" applyProtection="1">
      <alignment horizontal="left" vertical="center"/>
      <protection locked="0"/>
    </xf>
    <xf numFmtId="14" fontId="2" fillId="0" borderId="37" xfId="0" applyNumberFormat="1" applyFont="1" applyBorder="1" applyAlignment="1" applyProtection="1">
      <alignment horizontal="left" vertical="center"/>
      <protection locked="0"/>
    </xf>
    <xf numFmtId="14" fontId="2" fillId="0" borderId="28" xfId="0" applyNumberFormat="1" applyFont="1" applyBorder="1" applyAlignment="1" applyProtection="1">
      <alignment horizontal="left" vertical="center"/>
      <protection locked="0"/>
    </xf>
    <xf numFmtId="0" fontId="2" fillId="5" borderId="36" xfId="0" applyFont="1" applyFill="1" applyBorder="1" applyAlignment="1">
      <alignment horizontal="center" vertical="center"/>
    </xf>
    <xf numFmtId="0" fontId="3" fillId="0" borderId="18" xfId="0" applyFont="1" applyBorder="1" applyAlignment="1">
      <alignment horizontal="center" vertical="top"/>
    </xf>
    <xf numFmtId="0" fontId="3" fillId="0" borderId="19" xfId="0" applyFont="1" applyBorder="1" applyAlignment="1">
      <alignment horizontal="center" vertical="top"/>
    </xf>
    <xf numFmtId="0" fontId="3" fillId="0" borderId="20" xfId="0" applyFont="1" applyBorder="1" applyAlignment="1">
      <alignment horizontal="center" vertical="top"/>
    </xf>
    <xf numFmtId="0" fontId="3" fillId="0" borderId="21" xfId="0" applyFont="1" applyBorder="1" applyAlignment="1">
      <alignment horizontal="center" vertical="top"/>
    </xf>
    <xf numFmtId="0" fontId="3" fillId="0" borderId="22" xfId="0" applyFont="1" applyBorder="1" applyAlignment="1">
      <alignment horizontal="center" vertical="top"/>
    </xf>
    <xf numFmtId="0" fontId="3" fillId="0" borderId="23" xfId="0" applyFont="1" applyBorder="1" applyAlignment="1">
      <alignment horizontal="center" vertical="top"/>
    </xf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7" borderId="14" xfId="0" applyFont="1" applyFill="1" applyBorder="1" applyAlignment="1">
      <alignment horizontal="center"/>
    </xf>
    <xf numFmtId="0" fontId="3" fillId="7" borderId="16" xfId="0" applyFont="1" applyFill="1" applyBorder="1" applyAlignment="1">
      <alignment horizontal="center"/>
    </xf>
    <xf numFmtId="0" fontId="3" fillId="6" borderId="14" xfId="0" applyFont="1" applyFill="1" applyBorder="1" applyAlignment="1">
      <alignment horizontal="center"/>
    </xf>
    <xf numFmtId="0" fontId="3" fillId="6" borderId="16" xfId="0" applyFont="1" applyFill="1" applyBorder="1" applyAlignment="1">
      <alignment horizontal="center"/>
    </xf>
    <xf numFmtId="0" fontId="3" fillId="0" borderId="16" xfId="0" applyFont="1" applyBorder="1" applyAlignment="1">
      <alignment horizontal="center"/>
    </xf>
    <xf numFmtId="49" fontId="3" fillId="2" borderId="14" xfId="0" applyNumberFormat="1" applyFont="1" applyFill="1" applyBorder="1" applyAlignment="1">
      <alignment horizontal="center"/>
    </xf>
    <xf numFmtId="49" fontId="3" fillId="2" borderId="16" xfId="0" applyNumberFormat="1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center"/>
    </xf>
  </cellXfs>
  <cellStyles count="5">
    <cellStyle name="Normal" xfId="0" builtinId="0"/>
    <cellStyle name="Normal 2" xfId="2" xr:uid="{532DEDD0-DD3F-45A2-9E3D-DD36F720FD92}"/>
    <cellStyle name="Normal 3" xfId="3" xr:uid="{7DA9A863-6F1F-4332-AE5C-8E1B8E7AA3F5}"/>
    <cellStyle name="Normal 4" xfId="4" xr:uid="{4CC47837-107B-4BC2-A8A3-91E07E542CFE}"/>
    <cellStyle name="Standard 2" xfId="1" xr:uid="{D5B40864-B436-4B4E-8A3C-496630A58D85}"/>
  </cellStyles>
  <dxfs count="0"/>
  <tableStyles count="0" defaultTableStyle="TableStyleMedium2" defaultPivotStyle="PivotStyleLight16"/>
  <colors>
    <mruColors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microsoft.com/office/2017/06/relationships/rdRichValue" Target="richData/rdrichvalue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microsoft.com/office/2017/06/relationships/rdRichValueTypes" Target="richData/rdRichValueType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microsoft.com/office/2017/06/relationships/rdRichValueStructure" Target="richData/rdrichvaluestructure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</xdr:colOff>
      <xdr:row>62</xdr:row>
      <xdr:rowOff>0</xdr:rowOff>
    </xdr:from>
    <xdr:ext cx="4391024" cy="152400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A6F4876-307F-4204-9B26-7C9007F17F4B}"/>
            </a:ext>
          </a:extLst>
        </xdr:cNvPr>
        <xdr:cNvSpPr txBox="1"/>
      </xdr:nvSpPr>
      <xdr:spPr>
        <a:xfrm>
          <a:off x="847726" y="7239000"/>
          <a:ext cx="4391024" cy="1524000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ro-RO" sz="1100"/>
        </a:p>
      </xdr:txBody>
    </xdr:sp>
    <xdr:clientData/>
  </xdr:oneCellAnchor>
</xdr:wsDr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13</v>
    <v>3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14143-AFF6-4DC6-AEF4-1FCB9047F1FF}">
  <sheetPr>
    <pageSetUpPr fitToPage="1"/>
  </sheetPr>
  <dimension ref="A1:S68"/>
  <sheetViews>
    <sheetView zoomScaleNormal="100" workbookViewId="0">
      <selection activeCell="Q17" sqref="Q17"/>
    </sheetView>
  </sheetViews>
  <sheetFormatPr defaultRowHeight="15"/>
  <cols>
    <col min="1" max="1" width="13.42578125" customWidth="1"/>
    <col min="2" max="2" width="22.140625" bestFit="1" customWidth="1"/>
    <col min="3" max="3" width="9.42578125" bestFit="1" customWidth="1"/>
    <col min="4" max="4" width="9" bestFit="1" customWidth="1"/>
    <col min="5" max="5" width="2" customWidth="1"/>
    <col min="6" max="6" width="16.85546875" bestFit="1" customWidth="1"/>
    <col min="7" max="7" width="9" bestFit="1" customWidth="1"/>
    <col min="8" max="8" width="16.85546875" bestFit="1" customWidth="1"/>
    <col min="9" max="9" width="6.28515625" bestFit="1" customWidth="1"/>
    <col min="10" max="10" width="16.85546875" bestFit="1" customWidth="1"/>
    <col min="11" max="11" width="6.28515625" bestFit="1" customWidth="1"/>
    <col min="12" max="12" width="16.85546875" bestFit="1" customWidth="1"/>
    <col min="13" max="13" width="6.28515625" bestFit="1" customWidth="1"/>
    <col min="14" max="14" width="16.85546875" bestFit="1" customWidth="1"/>
    <col min="15" max="15" width="6.28515625" bestFit="1" customWidth="1"/>
    <col min="16" max="16" width="16.85546875" bestFit="1" customWidth="1"/>
    <col min="17" max="17" width="6.28515625" bestFit="1" customWidth="1"/>
    <col min="18" max="18" width="16.85546875" bestFit="1" customWidth="1"/>
    <col min="19" max="19" width="9.5703125" bestFit="1" customWidth="1"/>
  </cols>
  <sheetData>
    <row r="1" spans="1:19" ht="27" thickBot="1">
      <c r="A1" s="203" t="s">
        <v>36</v>
      </c>
      <c r="B1" s="204"/>
      <c r="C1" s="204"/>
      <c r="D1" s="204"/>
      <c r="E1" s="204"/>
      <c r="F1" s="204"/>
      <c r="G1" s="204"/>
      <c r="H1" s="204"/>
      <c r="I1" s="204"/>
      <c r="J1" s="204"/>
      <c r="K1" s="204"/>
      <c r="L1" s="205"/>
      <c r="M1" s="38" t="s">
        <v>70</v>
      </c>
      <c r="N1" s="39" t="s">
        <v>64</v>
      </c>
      <c r="O1" s="194" t="s">
        <v>69</v>
      </c>
      <c r="P1" s="195"/>
      <c r="Q1" s="195"/>
      <c r="R1" s="195"/>
      <c r="S1" s="196"/>
    </row>
    <row r="2" spans="1:19" ht="18.75" thickBot="1">
      <c r="A2" s="17" t="s">
        <v>96</v>
      </c>
      <c r="B2" s="17"/>
      <c r="C2" s="17"/>
      <c r="D2" s="17"/>
      <c r="E2" s="17"/>
      <c r="F2" s="17"/>
      <c r="G2" s="17"/>
      <c r="H2" s="17"/>
      <c r="I2" s="17"/>
      <c r="L2" s="17"/>
      <c r="M2" s="42">
        <v>1</v>
      </c>
      <c r="N2" s="80"/>
      <c r="O2" s="197"/>
      <c r="P2" s="198"/>
      <c r="Q2" s="198"/>
      <c r="R2" s="198"/>
      <c r="S2" s="199"/>
    </row>
    <row r="3" spans="1:19">
      <c r="A3" s="20" t="s">
        <v>49</v>
      </c>
      <c r="B3" s="209"/>
      <c r="C3" s="210"/>
      <c r="D3" s="211"/>
      <c r="H3" s="20" t="s">
        <v>59</v>
      </c>
      <c r="I3" s="216"/>
      <c r="J3" s="217"/>
      <c r="K3" s="218"/>
      <c r="M3" s="27">
        <v>2</v>
      </c>
      <c r="N3" s="73"/>
      <c r="O3" s="206"/>
      <c r="P3" s="207"/>
      <c r="Q3" s="207"/>
      <c r="R3" s="207"/>
      <c r="S3" s="208"/>
    </row>
    <row r="4" spans="1:19">
      <c r="A4" s="21" t="s">
        <v>47</v>
      </c>
      <c r="B4" s="188"/>
      <c r="C4" s="189"/>
      <c r="D4" s="190"/>
      <c r="H4" s="21" t="s">
        <v>60</v>
      </c>
      <c r="I4" s="191"/>
      <c r="J4" s="192"/>
      <c r="K4" s="193"/>
      <c r="M4" s="27">
        <v>3</v>
      </c>
      <c r="N4" s="73"/>
      <c r="O4" s="206"/>
      <c r="P4" s="207"/>
      <c r="Q4" s="207"/>
      <c r="R4" s="207"/>
      <c r="S4" s="208"/>
    </row>
    <row r="5" spans="1:19">
      <c r="A5" s="21" t="s">
        <v>48</v>
      </c>
      <c r="B5" s="212"/>
      <c r="C5" s="213"/>
      <c r="D5" s="214"/>
      <c r="H5" s="21" t="s">
        <v>61</v>
      </c>
      <c r="I5" s="215"/>
      <c r="J5" s="207"/>
      <c r="K5" s="208"/>
      <c r="M5" s="27">
        <v>4</v>
      </c>
      <c r="N5" s="73"/>
      <c r="O5" s="206"/>
      <c r="P5" s="207"/>
      <c r="Q5" s="207"/>
      <c r="R5" s="207"/>
      <c r="S5" s="208"/>
    </row>
    <row r="6" spans="1:19" ht="15.75" thickBot="1">
      <c r="A6" s="22" t="s">
        <v>7</v>
      </c>
      <c r="B6" s="223"/>
      <c r="C6" s="224"/>
      <c r="D6" s="225"/>
      <c r="H6" s="22" t="s">
        <v>62</v>
      </c>
      <c r="I6" s="226"/>
      <c r="J6" s="201"/>
      <c r="K6" s="202"/>
      <c r="M6" s="28">
        <v>5</v>
      </c>
      <c r="N6" s="74"/>
      <c r="O6" s="200"/>
      <c r="P6" s="201"/>
      <c r="Q6" s="201"/>
      <c r="R6" s="201"/>
      <c r="S6" s="202"/>
    </row>
    <row r="7" spans="1:19" s="50" customFormat="1" ht="2.1" hidden="1" customHeight="1" thickBot="1"/>
    <row r="8" spans="1:19" ht="15.75" customHeight="1" thickBot="1">
      <c r="A8" s="227" t="s">
        <v>1</v>
      </c>
      <c r="B8" s="228"/>
      <c r="C8" s="228"/>
      <c r="D8" s="229"/>
      <c r="F8" s="233" t="s">
        <v>73</v>
      </c>
      <c r="G8" s="234"/>
      <c r="H8" s="234"/>
      <c r="I8" s="234"/>
      <c r="J8" s="234"/>
      <c r="K8" s="234"/>
      <c r="L8" s="234"/>
      <c r="M8" s="234"/>
      <c r="N8" s="234"/>
      <c r="O8" s="234"/>
      <c r="P8" s="234"/>
      <c r="Q8" s="234"/>
      <c r="R8" s="234"/>
      <c r="S8" s="239"/>
    </row>
    <row r="9" spans="1:19" ht="15.75" thickBot="1">
      <c r="A9" s="230"/>
      <c r="B9" s="231"/>
      <c r="C9" s="231"/>
      <c r="D9" s="232"/>
      <c r="F9" s="170" t="s">
        <v>28</v>
      </c>
      <c r="G9" s="171"/>
      <c r="H9" s="186" t="s">
        <v>29</v>
      </c>
      <c r="I9" s="187"/>
      <c r="J9" s="168" t="s">
        <v>16</v>
      </c>
      <c r="K9" s="169"/>
      <c r="L9" s="240" t="s">
        <v>19</v>
      </c>
      <c r="M9" s="241"/>
      <c r="N9" s="237" t="s">
        <v>80</v>
      </c>
      <c r="O9" s="238"/>
      <c r="P9" s="235" t="s">
        <v>68</v>
      </c>
      <c r="Q9" s="236"/>
      <c r="R9" s="237" t="s">
        <v>18</v>
      </c>
      <c r="S9" s="238"/>
    </row>
    <row r="10" spans="1:19" ht="15.75" thickBot="1">
      <c r="A10" s="175" t="s">
        <v>9</v>
      </c>
      <c r="B10" s="23" t="s">
        <v>63</v>
      </c>
      <c r="C10" s="23" t="s">
        <v>71</v>
      </c>
      <c r="D10" s="23" t="s">
        <v>51</v>
      </c>
      <c r="E10" s="2"/>
      <c r="F10" s="145" t="s">
        <v>63</v>
      </c>
      <c r="G10" s="145" t="s">
        <v>71</v>
      </c>
      <c r="H10" s="146" t="s">
        <v>63</v>
      </c>
      <c r="I10" s="146" t="s">
        <v>71</v>
      </c>
      <c r="J10" s="147" t="s">
        <v>63</v>
      </c>
      <c r="K10" s="147" t="s">
        <v>71</v>
      </c>
      <c r="L10" s="148" t="s">
        <v>63</v>
      </c>
      <c r="M10" s="148" t="s">
        <v>71</v>
      </c>
      <c r="N10" s="32" t="s">
        <v>63</v>
      </c>
      <c r="O10" s="32" t="s">
        <v>71</v>
      </c>
      <c r="P10" s="32" t="s">
        <v>63</v>
      </c>
      <c r="Q10" s="149" t="s">
        <v>71</v>
      </c>
      <c r="R10" s="32" t="s">
        <v>63</v>
      </c>
      <c r="S10" s="32" t="s">
        <v>71</v>
      </c>
    </row>
    <row r="11" spans="1:19">
      <c r="A11" s="176"/>
      <c r="B11" s="56" t="str">
        <f>IFERROR(INDEX(Deco!$Y$2:$Y$99,_xlfn.AGGREGATE(15,6,ROW(Deco!$Y$2:$Y$99)-ROW(Deco!$Y$2)+1/(Deco!$W$2:$W$99="PAL"),1)),"")</f>
        <v/>
      </c>
      <c r="C11" s="58" t="str" cm="1">
        <f t="array" ref="C11">IFERROR(
  IF(D11="buc",
    IF(B11&lt;&gt;"",
      INDEX(Deco!$C$2:$C$99, MATCH(1, (Deco!$Y$2:$Y$99=B11)*(Deco!$W$2:$W$99="PAL"), 0)),
    ""),
    IF(AND(B11&lt;&gt;"", INDEX(Deco!$W$2:$W$99, MATCH(1, (Deco!$Y$2:$Y$99=B11)*(Deco!$W$2:$W$99="PAL"), 0))="PAL"),
      INDEX(Deco!$V$2:$V$99, MATCH(1, (Deco!$Y$2:$Y$99=B11)*(Deco!$W$2:$W$99="PAL"), 0)),
    "")
  ),
"")</f>
        <v/>
      </c>
      <c r="D11" s="29" t="str" cm="1">
        <f t="array" ref="D11">IF(I3="Debitare căntuire", IF(OR(RIGHT(B11,1)={"0","1","2","3","4","5","6","7","8","9"},RIGHT(B11,2)="SM",RIGHT(B11,2)="PM",RIGHT(B11,2)="PG",RIGHT(B11,2)="mm",RIGHT(B11,2)="mp",RIGHT(B11,2)="PA",RIGHT(B11,2)="3D"),"buc","mp"), "mp")</f>
        <v>mp</v>
      </c>
      <c r="E11" s="2"/>
      <c r="F11" s="82" t="str" cm="1">
        <f t="array" ref="F11">IFERROR(INDEX(Cant!$M$2:$M$99,_xlfn.AGGREGATE(15,6,(ROW(Cant!$M$2:$M$99)-ROW(Cant!$M$2)+1)/((Cant!$M$2:$M$99&lt;&gt;"")*(COUNTIF($F$10:F10,Cant!$M$2:$M$99)=0)),1)),"")</f>
        <v/>
      </c>
      <c r="G11" s="83" t="str">
        <f>IFERROR(IF(AND(F11&lt;&gt;"",SUMIFS(Cant!$I$2:$I$99,Cant!$M$2:$M$99,F11,Cant!$J$2:$J$99,"22/0.4")+SUMIFS(Cant!$I$2:$I$99,Cant!$M$2:$M$99,F11,Cant!$J$2:$J$99,"22/0.5")&gt;0),
    SUMIFS(Cant!$I$2:$I$99,Cant!$M$2:$M$99,F11,Cant!$J$2:$J$99,"22/0.4")
    +SUMIFS(Cant!$I$2:$I$99,Cant!$M$2:$M$99,F11,Cant!$J$2:$J$99,"22/0.5"),
  ""),
"")</f>
        <v/>
      </c>
      <c r="H11" s="84" t="str">
        <f>CONCATENATE(F11)</f>
        <v/>
      </c>
      <c r="I11" s="87" t="str">
        <f>IFERROR(
   IF(AND(H11&lt;&gt;"",
      SUMIFS(Cant!$I$2:$I$99,Cant!$M$2:$M$99,H11,Cant!$J$2:$J$99,"22/1.0")
     +SUMIFS(Cant!$I$2:$I$99,Cant!$M$2:$M$99,H11,Cant!$J$2:$J$99,"23/1.0")&gt;0),
      SUMIFS(Cant!$I$2:$I$99,Cant!$M$2:$M$99,H11,Cant!$J$2:$J$99,"22/1.0")
     +SUMIFS(Cant!$I$2:$I$99,Cant!$M$2:$M$99,H11,Cant!$J$2:$J$99,"23/1.0"),
   ""),"")</f>
        <v/>
      </c>
      <c r="J11" s="89" t="str">
        <f>CONCATENATE(F11)</f>
        <v/>
      </c>
      <c r="K11" s="92" t="str">
        <f>IFERROR(IF(AND(J11&lt;&gt;"",SUMIFS(Cant!$I$2:$I$99,Cant!$M$2:$M$99,J11,Cant!$J$2:$J$99,"23/0.8")&gt;0),SUMIFS(Cant!$I$2:$I$99,Cant!$M$2:$M$99,J11,Cant!$J$2:$J$99,"23/0.8"),""),"")</f>
        <v/>
      </c>
      <c r="L11" s="94" t="str">
        <f>CONCATENATE(F11)</f>
        <v/>
      </c>
      <c r="M11" s="97" t="str">
        <f>IFERROR(IF(AND(L11&lt;&gt;"",SUMIFS(Cant!$I$2:$I$99,Cant!$M$2:$M$99,L11,Cant!$J$2:$J$99,"23/2.0")&gt;0),SUMIFS(Cant!$I$2:$I$99,Cant!$M$2:$M$99,L11,Cant!$J$2:$J$99,"23/2.0"),""),"")</f>
        <v/>
      </c>
      <c r="N11" s="56" t="str">
        <f>CONCATENATE(F11)</f>
        <v/>
      </c>
      <c r="O11" s="29" t="str">
        <f>IFERROR(IF(AND(N11&lt;&gt;"",SUMIFS(Cant!$I$2:$I$99,Cant!$M$2:$M$99,N11,Cant!$J$2:$J$99,"43/1.0")+SUMIFS(Cant!$I$2:$I$99,Cant!$M$2:$M$99,F11,Cant!$J$2:$J$99,"43/0.8")+SUMIFS(Cant!$I$2:$I$99,Cant!$M$2:$M$99,F11,Cant!$J$2:$J$99,"42/1.0")&gt;0),SUMIFS(Cant!$I$2:$I$99,Cant!$M$2:$M$99,N11,Cant!$J$2:$J$99,"43/1.0")+SUMIFS(Cant!$I$2:$I$99,Cant!$M$2:$M$99,N11,Cant!$J$2:$J$99,"43/0.8")++SUMIFS(Cant!$I$2:$I$99,Cant!$M$2:$M$99,F11,Cant!$J$2:$J$99,"42/1.0"),""),"")</f>
        <v/>
      </c>
      <c r="P11" s="56" t="str">
        <f>CONCATENATE(F11)</f>
        <v/>
      </c>
      <c r="Q11" s="29" t="str">
        <f>IFERROR(IF(AND(P11&lt;&gt;"",SUMIFS(Cant!$I$2:$I$99,Cant!$M$2:$M$99,P11,Cant!$J$2:$J$99,"43/1.5")+SUMIFS(Cant!$I$2:$I$99,Cant!$M$2:$M$99,P11,Cant!$J$2:$J$99,"24/1.5")&gt;0),SUMIFS(Cant!$I$2:$I$99,Cant!$M$2:$M$99,P11,Cant!$J$2:$J$99,"43/1.5")+SUMIFS(Cant!$I$2:$I$99,Cant!$M$2:$M$99,P11,Cant!$J$2:$J$99,"24/1.5"),""),"")</f>
        <v/>
      </c>
      <c r="R11" s="56" t="str">
        <f>CONCATENATE(F11)</f>
        <v/>
      </c>
      <c r="S11" s="29" t="str">
        <f>IFERROR(IF(AND(R11&lt;&gt;"",SUMIFS(Cant!$I$2:$I$99,Cant!$M$2:$M$99,R11,Cant!$J$2:$J$99,"43/2.0")&gt;0),SUMIFS(Cant!$I$2:$I$99,Cant!$M$2:$M$99,R11,Cant!$J$2:$J$99,"43/2.0"),""),"")</f>
        <v/>
      </c>
    </row>
    <row r="12" spans="1:19">
      <c r="A12" s="176"/>
      <c r="B12" s="108" t="str" cm="1">
        <f t="array" ref="B12">IFERROR(_xlfn.SINGLE(INDEX(Deco!$Y$2:$Y$99,_xlfn.AGGREGATE(15,6,ROW(Deco!$Y$2:$Y$99)-ROW(Deco!$Y$2)+1/(Deco!$W$2:$W$99="PAL"),2))),"")</f>
        <v/>
      </c>
      <c r="C12" s="109" t="str" cm="1">
        <f t="array" ref="C12">IFERROR(
  IF(D12="buc",
    IF(B12&lt;&gt;"",
      INDEX(Deco!$C$2:$C$99, MATCH(1, (Deco!$Y$2:$Y$99=B12)*(Deco!$W$2:$W$99="PAL"), 0)),
    ""),
    IF(AND(B12&lt;&gt;"", INDEX(Deco!$W$2:$W$99, MATCH(1, (Deco!$Y$2:$Y$99=B12)*(Deco!$W$2:$W$99="PAL"), 0))="PAL"),
      INDEX(Deco!$V$2:$V$99, MATCH(1, (Deco!$Y$2:$Y$99=B12)*(Deco!$W$2:$W$99="PAL"), 0)),
    "")
  ),
"")</f>
        <v/>
      </c>
      <c r="D12" s="37" t="str" cm="1">
        <f t="array" ref="D12">IF(I3="Debitare căntuire", IF(OR(RIGHT(B12,1)={"0","1","2","3","4","5","6","7","8","9"},RIGHT(B12,2)="SM",RIGHT(B12,2)="PM",RIGHT(B12,2)="PG",RIGHT(B12,2)="mm",RIGHT(B12,2)="mp",RIGHT(B12,2)="PA",RIGHT(B12,2)="3D"),"buc","mp"), "mp")</f>
        <v>mp</v>
      </c>
      <c r="E12" s="2"/>
      <c r="F12" s="150" t="str" cm="1">
        <f t="array" ref="F12">IFERROR(INDEX(Cant!$M$2:$M$99,_xlfn.AGGREGATE(15,6,(ROW(Cant!$M$2:$M$99)-ROW(Cant!$M$2)+1)/((Cant!$M$2:$M$99&lt;&gt;"")*(COUNTIF($F$10:F11,Cant!$M$2:$M$99)=0)),1)),"")</f>
        <v/>
      </c>
      <c r="G12" s="81" t="str">
        <f>IF(AND(F12&lt;&gt;"",COUNTIF($F$11:F11,F12)&gt;0),"",IFERROR(IF(AND(F12&lt;&gt;"",SUMIFS(Cant!$I$2:$I$99,Cant!$M$2:$M$99,F12,Cant!$J$2:$J$99,"22/0.4") +SUMIFS(Cant!$I$2:$I$99,Cant!$M$2:$M$99,F12,Cant!$J$2:$J$99,"22/0.5")&gt;0),
      SUMIFS(Cant!$I$2:$I$99,Cant!$M$2:$M$99,F12,Cant!$J$2:$J$99,"22/0.4")
      +SUMIFS(Cant!$I$2:$I$99,Cant!$M$2:$M$99,F12,Cant!$J$2:$J$99,"22/0.5"),
    ""),
  "")
)</f>
        <v/>
      </c>
      <c r="H12" s="85" t="str">
        <f>CONCATENATE(F12)</f>
        <v/>
      </c>
      <c r="I12" s="86" t="str">
        <f>IF(AND(F12&lt;&gt;"",COUNTIF($F$11:F11,F12)&gt;0),"",IFERROR(
   IF(AND(H12&lt;&gt;"",
      SUMIFS(Cant!$I$2:$I$99,Cant!$M$2:$M$99,H12,Cant!$J$2:$J$99,"22/1.0")
     +SUMIFS(Cant!$I$2:$I$99,Cant!$M$2:$M$99,H12,Cant!$J$2:$J$99,"23/1.0")&gt;0),
      SUMIFS(Cant!$I$2:$I$99,Cant!$M$2:$M$99,H12,Cant!$J$2:$J$99,"22/1.0")
     +SUMIFS(Cant!$I$2:$I$99,Cant!$M$2:$M$99,H12,Cant!$J$2:$J$99,"23/1.0"),
   ""),""))</f>
        <v/>
      </c>
      <c r="J12" s="90" t="str">
        <f>CONCATENATE(F12)</f>
        <v/>
      </c>
      <c r="K12" s="91" t="str">
        <f>IF(AND(F12&lt;&gt;"",COUNTIF($F$11:F11,F12)&gt;0),"",IFERROR(IF(AND(J12&lt;&gt;"",SUMIFS(Cant!$I$2:$I$99,Cant!$M$2:$M$99,J12,Cant!$J$2:$J$99,"23/0.8")&gt;0),SUMIFS(Cant!$I$2:$I$99,Cant!$M$2:$M$99,J12,Cant!$J$2:$J$99,"23/0.8"),""),""))</f>
        <v/>
      </c>
      <c r="L12" s="95" t="str">
        <f>CONCATENATE(F12)</f>
        <v/>
      </c>
      <c r="M12" s="96" t="str">
        <f>IF(AND(F12&lt;&gt;"",COUNTIF($F$11:F11,F12)&gt;0),"",IFERROR(IF(AND(L12&lt;&gt;"",SUMIFS(Cant!$I$2:$I$99,Cant!$M$2:$M$99,L12,Cant!$J$2:$J$99,"23/2.0")&gt;0),SUMIFS(Cant!$I$2:$I$99,Cant!$M$2:$M$99,L12,Cant!$J$2:$J$99,"23/2.0"),""),""))</f>
        <v/>
      </c>
      <c r="N12" s="67" t="str">
        <f>CONCATENATE(F12)</f>
        <v/>
      </c>
      <c r="O12" s="30" t="str">
        <f>IF(AND(F12&lt;&gt;"",COUNTIF($F$11:F11,F12)&gt;0),"",IFERROR(IF(AND(N12&lt;&gt;"",SUMIFS(Cant!$I$2:$I$99,Cant!$M$2:$M$99,N12,Cant!$J$2:$J$99,"43/1.0")+SUMIFS(Cant!$I$2:$I$99,Cant!$M$2:$M$99,N12,Cant!$J$2:$J$99,"43/0.8")+SUMIFS(Cant!$I$2:$I$99,Cant!$M$2:$M$99,N12,Cant!$J$2:$J$99,"42/1.0")&gt;0),SUMIFS(Cant!$I$2:$I$99,Cant!$M$2:$M$99,N12,Cant!$J$2:$J$99,"43/1.0")+SUMIFS(Cant!$I$2:$I$99,Cant!$M$2:$M$99,N12,Cant!$J$2:$J$99,"43/0.8")+SUMIFS(Cant!$I$2:$I$99,Cant!$M$2:$M$99,N12,Cant!$J$2:$J$99,"42/1.0"),""),""))</f>
        <v/>
      </c>
      <c r="P12" s="67" t="str">
        <f>CONCATENATE(F12)</f>
        <v/>
      </c>
      <c r="Q12" s="30" t="str">
        <f>IF(AND(F12&lt;&gt;"",COUNTIF($F$11:F11,F12)&gt;0),"",IFERROR(IF(AND(P12&lt;&gt;"",SUMIFS(Cant!$I$2:$I$99,Cant!$M$2:$M$99,P12,Cant!$J$2:$J$99,"43/1.5")+SUMIFS(Cant!$I$2:$I$99,Cant!$M$2:$M$99,P12,Cant!$J$2:$J$99,"24/1.5")&gt;0),SUMIFS(Cant!$I$2:$I$99,Cant!$M$2:$M$99,P12,Cant!$J$2:$J$99,"43/1.5")+SUMIFS(Cant!$I$2:$I$99,Cant!$M$2:$M$99,P12,Cant!$J$2:$J$99,"24/1.5"),""),""))</f>
        <v/>
      </c>
      <c r="R12" s="67" t="str">
        <f>CONCATENATE(F12)</f>
        <v/>
      </c>
      <c r="S12" s="30" t="str">
        <f>IF(AND(F12&lt;&gt;"",COUNTIF($F$11:F11,F12)&gt;0),"",IFERROR(IF(AND(R12&lt;&gt;"",SUMIFS(Cant!$I$2:$I$99,Cant!$M$2:$M$99,R12,Cant!$J$2:$J$99,"43/2.0")&gt;0),SUMIFS(Cant!$I$2:$I$99,Cant!$M$2:$M$99,R12,Cant!$J$2:$J$99,"43/2.0"),""),""))</f>
        <v/>
      </c>
    </row>
    <row r="13" spans="1:19">
      <c r="A13" s="176"/>
      <c r="B13" s="108" t="str" cm="1">
        <f t="array" ref="B13">IFERROR(_xlfn.SINGLE(INDEX(Deco!$Y$2:$Y$99,_xlfn.AGGREGATE(15,6,ROW(Deco!$Y$2:$Y$99)-ROW(Deco!$Y$2)+1/(Deco!$W$2:$W$99="PAL"),3))),"")</f>
        <v/>
      </c>
      <c r="C13" s="109" t="str" cm="1">
        <f t="array" ref="C13">IFERROR(
  IF(D13="buc",
    IF(B13&lt;&gt;"",
      INDEX(Deco!$C$2:$C$99, MATCH(1, (Deco!$Y$2:$Y$99=B13)*(Deco!$W$2:$W$99="PAL"), 0)),
    ""),
    IF(AND(B13&lt;&gt;"", INDEX(Deco!$W$2:$W$99, MATCH(1, (Deco!$Y$2:$Y$99=B13)*(Deco!$W$2:$W$99="PAL"), 0))="PAL"),
      INDEX(Deco!$V$2:$V$99, MATCH(1, (Deco!$Y$2:$Y$99=B13)*(Deco!$W$2:$W$99="PAL"), 0)),
    "")
  ),
"")</f>
        <v/>
      </c>
      <c r="D13" s="37" t="str" cm="1">
        <f t="array" ref="D13">IF(I3="Debitare căntuire", IF(OR(RIGHT(B13,1)={"0","1","2","3","4","5","6","7","8","9"},RIGHT(B13,2)="SM",RIGHT(B13,2)="PM",RIGHT(B13,2)="PG",RIGHT(B13,2)="mm",RIGHT(B13,2)="mp",RIGHT(B13,2)="PA",RIGHT(B13,2)="3D"),"buc","mp"), "mp")</f>
        <v>mp</v>
      </c>
      <c r="E13" s="2"/>
      <c r="F13" s="150" t="str" cm="1">
        <f t="array" ref="F13">IFERROR(INDEX(Cant!$M$2:$M$99,_xlfn.AGGREGATE(15,6,(ROW(Cant!$M$2:$M$99)-ROW(Cant!$M$2)+1)/((Cant!$M$2:$M$99&lt;&gt;"")*(COUNTIF($F$10:F12,Cant!$M$2:$M$99)=0)),1)),"")</f>
        <v/>
      </c>
      <c r="G13" s="81" t="str">
        <f>IF(AND(F13&lt;&gt;"",COUNTIF($F$11:F12,F13)&gt;0),"",
  IFERROR(
    IF(AND(F13&lt;&gt;"",
      SUMIFS(Cant!$I$2:$I$99,Cant!$M$2:$M$99,F13,Cant!$J$2:$J$99,"22/0.4")
      +SUMIFS(Cant!$I$2:$I$99,Cant!$M$2:$M$99,F13,Cant!$J$2:$J$99,"22/0.5")&gt;0),
      SUMIFS(Cant!$I$2:$I$99,Cant!$M$2:$M$99,F13,Cant!$J$2:$J$99,"22/0.4")
      +SUMIFS(Cant!$I$2:$I$99,Cant!$M$2:$M$99,F13,Cant!$J$2:$J$99,"22/0.5"),
    ""),
  "")
)</f>
        <v/>
      </c>
      <c r="H13" s="85" t="str">
        <f t="shared" ref="H13:H38" si="0">CONCATENATE(F13)</f>
        <v/>
      </c>
      <c r="I13" s="86" t="str">
        <f>IF(AND(F13&lt;&gt;"",COUNTIF($F$11:F12,F13)&gt;0),"",IFERROR(
   IF(AND(H13&lt;&gt;"",
      SUMIFS(Cant!$I$2:$I$99,Cant!$M$2:$M$99,H13,Cant!$J$2:$J$99,"22/1.0")
     +SUMIFS(Cant!$I$2:$I$99,Cant!$M$2:$M$99,H13,Cant!$J$2:$J$99,"23/1.0")&gt;0),
      SUMIFS(Cant!$I$2:$I$99,Cant!$M$2:$M$99,H13,Cant!$J$2:$J$99,"22/1.0")
     +SUMIFS(Cant!$I$2:$I$99,Cant!$M$2:$M$99,H13,Cant!$J$2:$J$99,"23/1.0"),
   ""),""))</f>
        <v/>
      </c>
      <c r="J13" s="90" t="str">
        <f t="shared" ref="J13:J38" si="1">CONCATENATE(F13)</f>
        <v/>
      </c>
      <c r="K13" s="91" t="str">
        <f>IF(AND(F13&lt;&gt;"",COUNTIF($F$11:F12,F13)&gt;0),"",IFERROR(IF(AND(J13&lt;&gt;"",SUMIFS(Cant!$I$2:$I$99,Cant!$M$2:$M$99,J13,Cant!$J$2:$J$99,"23/0.8")&gt;0),SUMIFS(Cant!$I$2:$I$99,Cant!$M$2:$M$99,J13,Cant!$J$2:$J$99,"23/0.8"),""),""))</f>
        <v/>
      </c>
      <c r="L13" s="95" t="str">
        <f t="shared" ref="L13:L38" si="2">CONCATENATE(F13)</f>
        <v/>
      </c>
      <c r="M13" s="96" t="str">
        <f>IF(AND(F13&lt;&gt;"",COUNTIF($F$11:F12,F13)&gt;0),"",IFERROR(IF(AND(L13&lt;&gt;"",SUMIFS(Cant!$I$2:$I$99,Cant!$M$2:$M$99,L13,Cant!$J$2:$J$99,"23/2.0")&gt;0),SUMIFS(Cant!$I$2:$I$99,Cant!$M$2:$M$99,L13,Cant!$J$2:$J$99,"23/2.0"),""),""))</f>
        <v/>
      </c>
      <c r="N13" s="67" t="str">
        <f t="shared" ref="N13:N38" si="3">CONCATENATE(F13)</f>
        <v/>
      </c>
      <c r="O13" s="30" t="str">
        <f>IF(AND(F13&lt;&gt;"",COUNTIF($F$11:F12,F13)&gt;0),"",IFERROR(IF(AND(N13&lt;&gt;"",SUMIFS(Cant!$I$2:$I$99,Cant!$M$2:$M$99,N13,Cant!$J$2:$J$99,"43/1.0")+SUMIFS(Cant!$I$2:$I$99,Cant!$M$2:$M$99,N13,Cant!$J$2:$J$99,"43/0.8")+SUMIFS(Cant!$I$2:$I$99,Cant!$M$2:$M$99,N13,Cant!$J$2:$J$99,"42/1.0")&gt;0),SUMIFS(Cant!$I$2:$I$99,Cant!$M$2:$M$99,N13,Cant!$J$2:$J$99,"43/1.0")+SUMIFS(Cant!$I$2:$I$99,Cant!$M$2:$M$99,N13,Cant!$J$2:$J$99,"43/0.8")+SUMIFS(Cant!$I$2:$I$99,Cant!$M$2:$M$99,N13,Cant!$J$2:$J$99,"42/1.0"),""),""))</f>
        <v/>
      </c>
      <c r="P13" s="67" t="str">
        <f t="shared" ref="P13:P38" si="4">CONCATENATE(F13)</f>
        <v/>
      </c>
      <c r="Q13" s="30" t="str">
        <f>IF(AND(F13&lt;&gt;"",COUNTIF($F$11:F12,F13)&gt;0),"",IFERROR(IF(AND(P13&lt;&gt;"",SUMIFS(Cant!$I$2:$I$99,Cant!$M$2:$M$99,P13,Cant!$J$2:$J$99,"43/1.5")+SUMIFS(Cant!$I$2:$I$99,Cant!$M$2:$M$99,P13,Cant!$J$2:$J$99,"24/1.5")&gt;0),SUMIFS(Cant!$I$2:$I$99,Cant!$M$2:$M$99,P13,Cant!$J$2:$J$99,"43/1.5")+SUMIFS(Cant!$I$2:$I$99,Cant!$M$2:$M$99,P13,Cant!$J$2:$J$99,"24/1.5"),""),""))</f>
        <v/>
      </c>
      <c r="R13" s="67" t="str">
        <f t="shared" ref="R13:R38" si="5">CONCATENATE(F13)</f>
        <v/>
      </c>
      <c r="S13" s="30" t="str">
        <f>IF(AND(F13&lt;&gt;"",COUNTIF($F$11:F12,F13)&gt;0),"",IFERROR(IF(AND(R13&lt;&gt;"",SUMIFS(Cant!$I$2:$I$99,Cant!$M$2:$M$99,R13,Cant!$J$2:$J$99,"43/2.0")&gt;0),SUMIFS(Cant!$I$2:$I$99,Cant!$M$2:$M$99,R13,Cant!$J$2:$J$99,"43/2.0"),""),""))</f>
        <v/>
      </c>
    </row>
    <row r="14" spans="1:19">
      <c r="A14" s="176"/>
      <c r="B14" s="108" t="str" cm="1">
        <f t="array" ref="B14">IFERROR(_xlfn.SINGLE(INDEX(Deco!$Y$2:$Y$99,_xlfn.AGGREGATE(15,6,ROW(Deco!$Y$2:$Y$99)-ROW(Deco!$Y$2)+1/(Deco!$W$2:$W$99="PAL"),4))),"")</f>
        <v/>
      </c>
      <c r="C14" s="109" t="str" cm="1">
        <f t="array" ref="C14">IFERROR(
  IF(D14="buc",
    IF(B14&lt;&gt;"",
      INDEX(Deco!$C$2:$C$99, MATCH(1, (Deco!$Y$2:$Y$99=B14)*(Deco!$W$2:$W$99="PAL"), 0)),
    ""),
    IF(AND(B14&lt;&gt;"", INDEX(Deco!$W$2:$W$99, MATCH(1, (Deco!$Y$2:$Y$99=B14)*(Deco!$W$2:$W$99="PAL"), 0))="PAL"),
      INDEX(Deco!$V$2:$V$99, MATCH(1, (Deco!$Y$2:$Y$99=B14)*(Deco!$W$2:$W$99="PAL"), 0)),
    "")
  ),
"")</f>
        <v/>
      </c>
      <c r="D14" s="37" t="str" cm="1">
        <f t="array" ref="D14">IF(I3="Debitare căntuire", IF(OR(RIGHT(B14,1)={"0","1","2","3","4","5","6","7","8","9"},RIGHT(B14,2)="SM",RIGHT(B14,2)="PM",RIGHT(B14,2)="PG",RIGHT(B14,2)="mm",RIGHT(B14,2)="mp",RIGHT(B14,2)="PA",RIGHT(B14,2)="3D"),"buc","mp"), "mp")</f>
        <v>mp</v>
      </c>
      <c r="E14" s="2"/>
      <c r="F14" s="150" t="str" cm="1">
        <f t="array" ref="F14">IFERROR(INDEX(Cant!$M$2:$M$99,_xlfn.AGGREGATE(15,6,(ROW(Cant!$M$2:$M$99)-ROW(Cant!$M$2)+1)/((Cant!$M$2:$M$99&lt;&gt;"")*(COUNTIF($F$10:F13,Cant!$M$2:$M$99)=0)),1)),"")</f>
        <v/>
      </c>
      <c r="G14" s="81" t="str">
        <f>IF(AND(F14&lt;&gt;"",COUNTIF($F$11:F13,F14)&gt;0),"",
  IFERROR(
    IF(AND(F14&lt;&gt;"",
      SUMIFS(Cant!$I$2:$I$99,Cant!$M$2:$M$99,F14,Cant!$J$2:$J$99,"22/0.4")
      +SUMIFS(Cant!$I$2:$I$99,Cant!$M$2:$M$99,F14,Cant!$J$2:$J$99,"22/0.5")&gt;0),
      SUMIFS(Cant!$I$2:$I$99,Cant!$M$2:$M$99,F14,Cant!$J$2:$J$99,"22/0.4")
      +SUMIFS(Cant!$I$2:$I$99,Cant!$M$2:$M$99,F14,Cant!$J$2:$J$99,"22/0.5"),
    ""),
  "")
)</f>
        <v/>
      </c>
      <c r="H14" s="85" t="str">
        <f t="shared" si="0"/>
        <v/>
      </c>
      <c r="I14" s="86" t="str">
        <f>IF(AND(F14&lt;&gt;"",COUNTIF($F$11:F13,F14)&gt;0),"",IFERROR(
   IF(AND(H14&lt;&gt;"",
      SUMIFS(Cant!$I$2:$I$99,Cant!$M$2:$M$99,H14,Cant!$J$2:$J$99,"22/1.0")
     +SUMIFS(Cant!$I$2:$I$99,Cant!$M$2:$M$99,H14,Cant!$J$2:$J$99,"23/1.0")&gt;0),
      SUMIFS(Cant!$I$2:$I$99,Cant!$M$2:$M$99,H14,Cant!$J$2:$J$99,"22/1.0")
     +SUMIFS(Cant!$I$2:$I$99,Cant!$M$2:$M$99,H14,Cant!$J$2:$J$99,"23/1.0"),
   ""),""))</f>
        <v/>
      </c>
      <c r="J14" s="90" t="str">
        <f t="shared" si="1"/>
        <v/>
      </c>
      <c r="K14" s="91" t="str">
        <f>IF(AND(F14&lt;&gt;"",COUNTIF($F$11:F13,F14)&gt;0),"",IFERROR(IF(AND(J14&lt;&gt;"",SUMIFS(Cant!$I$2:$I$99,Cant!$M$2:$M$99,J14,Cant!$J$2:$J$99,"23/0.8")&gt;0),SUMIFS(Cant!$I$2:$I$99,Cant!$M$2:$M$99,J14,Cant!$J$2:$J$99,"23/0.8"),""),""))</f>
        <v/>
      </c>
      <c r="L14" s="95" t="str">
        <f t="shared" si="2"/>
        <v/>
      </c>
      <c r="M14" s="96" t="str">
        <f>IF(AND(F14&lt;&gt;"",COUNTIF($F$11:F13,F14)&gt;0),"",IFERROR(IF(AND(L14&lt;&gt;"",SUMIFS(Cant!$I$2:$I$99,Cant!$M$2:$M$99,L14,Cant!$J$2:$J$99,"23/2.0")&gt;0),SUMIFS(Cant!$I$2:$I$99,Cant!$M$2:$M$99,L14,Cant!$J$2:$J$99,"23/2.0"),""),""))</f>
        <v/>
      </c>
      <c r="N14" s="67" t="str">
        <f t="shared" si="3"/>
        <v/>
      </c>
      <c r="O14" s="30" t="str">
        <f>IF(AND(F14&lt;&gt;"",COUNTIF($F$11:F13,F14)&gt;0),"",IFERROR(IF(AND(N14&lt;&gt;"",SUMIFS(Cant!$I$2:$I$99,Cant!$M$2:$M$99,N14,Cant!$J$2:$J$99,"43/1.0")+SUMIFS(Cant!$I$2:$I$99,Cant!$M$2:$M$99,N14,Cant!$J$2:$J$99,"43/0.8")+SUMIFS(Cant!$I$2:$I$99,Cant!$M$2:$M$99,N14,Cant!$J$2:$J$99,"42/1.0")&gt;0),SUMIFS(Cant!$I$2:$I$99,Cant!$M$2:$M$99,N14,Cant!$J$2:$J$99,"43/1.0")+SUMIFS(Cant!$I$2:$I$99,Cant!$M$2:$M$99,N14,Cant!$J$2:$J$99,"43/0.8")+SUMIFS(Cant!$I$2:$I$99,Cant!$M$2:$M$99,N14,Cant!$J$2:$J$99,"42/1.0"),""),""))</f>
        <v/>
      </c>
      <c r="P14" s="67" t="str">
        <f t="shared" si="4"/>
        <v/>
      </c>
      <c r="Q14" s="30" t="str">
        <f>IF(AND(F14&lt;&gt;"",COUNTIF($F$11:F13,F14)&gt;0),"",IFERROR(IF(AND(P14&lt;&gt;"",SUMIFS(Cant!$I$2:$I$99,Cant!$M$2:$M$99,P14,Cant!$J$2:$J$99,"43/1.5")+SUMIFS(Cant!$I$2:$I$99,Cant!$M$2:$M$99,P14,Cant!$J$2:$J$99,"24/1.5")&gt;0),SUMIFS(Cant!$I$2:$I$99,Cant!$M$2:$M$99,P14,Cant!$J$2:$J$99,"43/1.5")+SUMIFS(Cant!$I$2:$I$99,Cant!$M$2:$M$99,P14,Cant!$J$2:$J$99,"24/1.5"),""),""))</f>
        <v/>
      </c>
      <c r="R14" s="67" t="str">
        <f t="shared" si="5"/>
        <v/>
      </c>
      <c r="S14" s="30" t="str">
        <f>IF(AND(F14&lt;&gt;"",COUNTIF($F$11:F13,F14)&gt;0),"",IFERROR(IF(AND(R14&lt;&gt;"",SUMIFS(Cant!$I$2:$I$99,Cant!$M$2:$M$99,R14,Cant!$J$2:$J$99,"43/2.0")&gt;0),SUMIFS(Cant!$I$2:$I$99,Cant!$M$2:$M$99,R14,Cant!$J$2:$J$99,"43/2.0"),""),""))</f>
        <v/>
      </c>
    </row>
    <row r="15" spans="1:19">
      <c r="A15" s="176"/>
      <c r="B15" s="108" t="str" cm="1">
        <f t="array" ref="B15">IFERROR(_xlfn.SINGLE(INDEX(Deco!$Y$2:$Y$99,_xlfn.AGGREGATE(15,6,ROW(Deco!$Y$2:$Y$99)-ROW(Deco!$Y$2)+1/(Deco!$W$2:$W$99="PAL"),5))),"")</f>
        <v/>
      </c>
      <c r="C15" s="110" t="str" cm="1">
        <f t="array" ref="C15">IFERROR(
  IF(D15="buc",
    IF(B15&lt;&gt;"",
      INDEX(Deco!$C$2:$C$99, MATCH(1, (Deco!$Y$2:$Y$99=B15)*(Deco!$W$2:$W$99="PAL"), 0)),
    ""),
    IF(AND(B15&lt;&gt;"", INDEX(Deco!$W$2:$W$99, MATCH(1, (Deco!$Y$2:$Y$99=B15)*(Deco!$W$2:$W$99="PAL"), 0))="PAL"),
      INDEX(Deco!$V$2:$V$99, MATCH(1, (Deco!$Y$2:$Y$99=B15)*(Deco!$W$2:$W$99="PAL"), 0)),
    "")
  ),
"")</f>
        <v/>
      </c>
      <c r="D15" s="37" t="str" cm="1">
        <f t="array" ref="D15">IF(I3="Debitare căntuire", IF(OR(RIGHT(B15,1)={"0","1","2","3","4","5","6","7","8","9"},RIGHT(B15,2)="SM",RIGHT(B15,2)="PM",RIGHT(B15,2)="PG",RIGHT(B15,2)="mm",RIGHT(B15,2)="mp",RIGHT(B15,2)="PA",RIGHT(B15,2)="3D"),"buc","mp"), "mp")</f>
        <v>mp</v>
      </c>
      <c r="E15" s="2"/>
      <c r="F15" s="150" t="str" cm="1">
        <f t="array" ref="F15">IFERROR(INDEX(Cant!$M$2:$M$99,_xlfn.AGGREGATE(15,6,(ROW(Cant!$M$2:$M$99)-ROW(Cant!$M$2)+1)/((Cant!$M$2:$M$99&lt;&gt;"")*(COUNTIF($F$10:F14,Cant!$M$2:$M$99)=0)),1)),"")</f>
        <v/>
      </c>
      <c r="G15" s="81" t="str">
        <f>IF(AND(F15&lt;&gt;"",COUNTIF($F$11:F14,F15)&gt;0),"",
  IFERROR(
    IF(AND(F15&lt;&gt;"",
      SUMIFS(Cant!$I$2:$I$99,Cant!$M$2:$M$99,F15,Cant!$J$2:$J$99,"22/0.4")
      +SUMIFS(Cant!$I$2:$I$99,Cant!$M$2:$M$99,F15,Cant!$J$2:$J$99,"22/0.5")&gt;0),
      SUMIFS(Cant!$I$2:$I$99,Cant!$M$2:$M$99,F15,Cant!$J$2:$J$99,"22/0.4")
      +SUMIFS(Cant!$I$2:$I$99,Cant!$M$2:$M$99,F15,Cant!$J$2:$J$99,"22/0.5"),
    ""),
  "")
)</f>
        <v/>
      </c>
      <c r="H15" s="85" t="str">
        <f t="shared" si="0"/>
        <v/>
      </c>
      <c r="I15" s="86" t="str">
        <f>IF(AND(F15&lt;&gt;"",COUNTIF($F$11:F14,F15)&gt;0),"",IFERROR(
   IF(AND(H15&lt;&gt;"",
      SUMIFS(Cant!$I$2:$I$99,Cant!$M$2:$M$99,H15,Cant!$J$2:$J$99,"22/1.0")
     +SUMIFS(Cant!$I$2:$I$99,Cant!$M$2:$M$99,H15,Cant!$J$2:$J$99,"23/1.0")&gt;0),
      SUMIFS(Cant!$I$2:$I$99,Cant!$M$2:$M$99,H15,Cant!$J$2:$J$99,"22/1.0")
     +SUMIFS(Cant!$I$2:$I$99,Cant!$M$2:$M$99,H15,Cant!$J$2:$J$99,"23/1.0"),
   ""),""))</f>
        <v/>
      </c>
      <c r="J15" s="90" t="str">
        <f t="shared" si="1"/>
        <v/>
      </c>
      <c r="K15" s="91" t="str">
        <f>IF(AND(F15&lt;&gt;"",COUNTIF($F$11:F14,F15)&gt;0),"",IFERROR(IF(AND(J15&lt;&gt;"",SUMIFS(Cant!$I$2:$I$99,Cant!$M$2:$M$99,J15,Cant!$J$2:$J$99,"23/0.8")&gt;0),SUMIFS(Cant!$I$2:$I$99,Cant!$M$2:$M$99,J15,Cant!$J$2:$J$99,"23/0.8"),""),""))</f>
        <v/>
      </c>
      <c r="L15" s="95" t="str">
        <f t="shared" si="2"/>
        <v/>
      </c>
      <c r="M15" s="96" t="str">
        <f>IF(AND(F15&lt;&gt;"",COUNTIF($F$11:F14,F15)&gt;0),"",IFERROR(IF(AND(L15&lt;&gt;"",SUMIFS(Cant!$I$2:$I$99,Cant!$M$2:$M$99,L15,Cant!$J$2:$J$99,"23/2.0")&gt;0),SUMIFS(Cant!$I$2:$I$99,Cant!$M$2:$M$99,L15,Cant!$J$2:$J$99,"23/2.0"),""),""))</f>
        <v/>
      </c>
      <c r="N15" s="67" t="str">
        <f t="shared" si="3"/>
        <v/>
      </c>
      <c r="O15" s="30" t="str">
        <f>IF(AND(F15&lt;&gt;"",COUNTIF($F$11:F14,F15)&gt;0),"",IFERROR(IF(AND(N15&lt;&gt;"",SUMIFS(Cant!$I$2:$I$99,Cant!$M$2:$M$99,N15,Cant!$J$2:$J$99,"43/1.0")+SUMIFS(Cant!$I$2:$I$99,Cant!$M$2:$M$99,N15,Cant!$J$2:$J$99,"43/0.8")+SUMIFS(Cant!$I$2:$I$99,Cant!$M$2:$M$99,N15,Cant!$J$2:$J$99,"42/1.0")&gt;0),SUMIFS(Cant!$I$2:$I$99,Cant!$M$2:$M$99,N15,Cant!$J$2:$J$99,"43/1.0")+SUMIFS(Cant!$I$2:$I$99,Cant!$M$2:$M$99,N15,Cant!$J$2:$J$99,"43/0.8")+SUMIFS(Cant!$I$2:$I$99,Cant!$M$2:$M$99,N15,Cant!$J$2:$J$99,"42/1.0"),""),""))</f>
        <v/>
      </c>
      <c r="P15" s="67" t="str">
        <f t="shared" si="4"/>
        <v/>
      </c>
      <c r="Q15" s="30" t="str">
        <f>IF(AND(F15&lt;&gt;"",COUNTIF($F$11:F14,F15)&gt;0),"",IFERROR(IF(AND(P15&lt;&gt;"",SUMIFS(Cant!$I$2:$I$99,Cant!$M$2:$M$99,P15,Cant!$J$2:$J$99,"43/1.5")+SUMIFS(Cant!$I$2:$I$99,Cant!$M$2:$M$99,P15,Cant!$J$2:$J$99,"24/1.5")&gt;0),SUMIFS(Cant!$I$2:$I$99,Cant!$M$2:$M$99,P15,Cant!$J$2:$J$99,"43/1.5")+SUMIFS(Cant!$I$2:$I$99,Cant!$M$2:$M$99,P15,Cant!$J$2:$J$99,"24/1.5"),""),""))</f>
        <v/>
      </c>
      <c r="R15" s="67" t="str">
        <f t="shared" si="5"/>
        <v/>
      </c>
      <c r="S15" s="30" t="str">
        <f>IF(AND(F15&lt;&gt;"",COUNTIF($F$11:F14,F15)&gt;0),"",IFERROR(IF(AND(R15&lt;&gt;"",SUMIFS(Cant!$I$2:$I$99,Cant!$M$2:$M$99,R15,Cant!$J$2:$J$99,"43/2.0")&gt;0),SUMIFS(Cant!$I$2:$I$99,Cant!$M$2:$M$99,R15,Cant!$J$2:$J$99,"43/2.0"),""),""))</f>
        <v/>
      </c>
    </row>
    <row r="16" spans="1:19">
      <c r="A16" s="176"/>
      <c r="B16" s="108" t="str" cm="1">
        <f t="array" ref="B16">IFERROR(_xlfn.SINGLE(INDEX(Deco!$Y$2:$Y$99,_xlfn.AGGREGATE(15,6,ROW(Deco!$Y$2:$Y$99)-ROW(Deco!$Y$2)+1/(Deco!$W$2:$W$99="PAL"),6))),"")</f>
        <v/>
      </c>
      <c r="C16" s="109" t="str" cm="1">
        <f t="array" ref="C16">IFERROR(
  IF(D16="buc",
    IF(B16&lt;&gt;"",
      INDEX(Deco!$C$2:$C$99, MATCH(1, (Deco!$Y$2:$Y$99=B16)*(Deco!$W$2:$W$99="PAL"), 0)),
    ""),
    IF(AND(B16&lt;&gt;"", INDEX(Deco!$W$2:$W$99, MATCH(1, (Deco!$Y$2:$Y$99=B16)*(Deco!$W$2:$W$99="PAL"), 0))="PAL"),
      INDEX(Deco!$V$2:$V$99, MATCH(1, (Deco!$Y$2:$Y$99=B16)*(Deco!$W$2:$W$99="PAL"), 0)),
    "")
  ),
"")</f>
        <v/>
      </c>
      <c r="D16" s="37" t="str" cm="1">
        <f t="array" ref="D16">IF(I3="Debitare căntuire", IF(OR(RIGHT(B16,1)={"0","1","2","3","4","5","6","7","8","9"},RIGHT(B16,2)="SM",RIGHT(B16,2)="PM",RIGHT(B16,2)="PG",RIGHT(B16,2)="mm",RIGHT(B16,2)="mp",RIGHT(B16,2)="PA",RIGHT(B16,2)="3D"),"buc","mp"), "mp")</f>
        <v>mp</v>
      </c>
      <c r="E16" s="2"/>
      <c r="F16" s="150" t="str" cm="1">
        <f t="array" ref="F16">IFERROR(INDEX(Cant!$M$2:$M$99,_xlfn.AGGREGATE(15,6,(ROW(Cant!$M$2:$M$99)-ROW(Cant!$M$2)+1)/((Cant!$M$2:$M$99&lt;&gt;"")*(COUNTIF($F$10:F15,Cant!$M$2:$M$99)=0)),1)),"")</f>
        <v/>
      </c>
      <c r="G16" s="81" t="str">
        <f>IF(AND(F16&lt;&gt;"",COUNTIF($F$11:F15,F16)&gt;0),"",
  IFERROR(
    IF(AND(F16&lt;&gt;"",
      SUMIFS(Cant!$I$2:$I$99,Cant!$M$2:$M$99,F16,Cant!$J$2:$J$99,"22/0.4")
      +SUMIFS(Cant!$I$2:$I$99,Cant!$M$2:$M$99,F16,Cant!$J$2:$J$99,"22/0.5")&gt;0),
      SUMIFS(Cant!$I$2:$I$99,Cant!$M$2:$M$99,F16,Cant!$J$2:$J$99,"22/0.4")
      +SUMIFS(Cant!$I$2:$I$99,Cant!$M$2:$M$99,F16,Cant!$J$2:$J$99,"22/0.5"),
    ""),
  "")
)</f>
        <v/>
      </c>
      <c r="H16" s="85" t="str">
        <f t="shared" si="0"/>
        <v/>
      </c>
      <c r="I16" s="86" t="str">
        <f>IF(AND(F16&lt;&gt;"",COUNTIF($F$11:F15,F16)&gt;0),"",IFERROR(
   IF(AND(H16&lt;&gt;"",
      SUMIFS(Cant!$I$2:$I$99,Cant!$M$2:$M$99,H16,Cant!$J$2:$J$99,"22/1.0")
     +SUMIFS(Cant!$I$2:$I$99,Cant!$M$2:$M$99,H16,Cant!$J$2:$J$99,"23/1.0")&gt;0),
      SUMIFS(Cant!$I$2:$I$99,Cant!$M$2:$M$99,H16,Cant!$J$2:$J$99,"22/1.0")
     +SUMIFS(Cant!$I$2:$I$99,Cant!$M$2:$M$99,H16,Cant!$J$2:$J$99,"23/1.0"),
   ""),""))</f>
        <v/>
      </c>
      <c r="J16" s="90" t="str">
        <f t="shared" si="1"/>
        <v/>
      </c>
      <c r="K16" s="91" t="str">
        <f>IF(AND(F16&lt;&gt;"",COUNTIF($F$11:F15,F16)&gt;0),"",IFERROR(IF(AND(J16&lt;&gt;"",SUMIFS(Cant!$I$2:$I$99,Cant!$M$2:$M$99,J16,Cant!$J$2:$J$99,"23/0.8")&gt;0),SUMIFS(Cant!$I$2:$I$99,Cant!$M$2:$M$99,J16,Cant!$J$2:$J$99,"23/0.8"),""),""))</f>
        <v/>
      </c>
      <c r="L16" s="95" t="str">
        <f t="shared" si="2"/>
        <v/>
      </c>
      <c r="M16" s="96" t="str">
        <f>IF(AND(F16&lt;&gt;"",COUNTIF($F$11:F15,F16)&gt;0),"",IFERROR(IF(AND(L16&lt;&gt;"",SUMIFS(Cant!$I$2:$I$99,Cant!$M$2:$M$99,L16,Cant!$J$2:$J$99,"23/2.0")&gt;0),SUMIFS(Cant!$I$2:$I$99,Cant!$M$2:$M$99,L16,Cant!$J$2:$J$99,"23/2.0"),""),""))</f>
        <v/>
      </c>
      <c r="N16" s="67" t="str">
        <f t="shared" si="3"/>
        <v/>
      </c>
      <c r="O16" s="30" t="str">
        <f>IF(AND(F16&lt;&gt;"",COUNTIF($F$11:F15,F16)&gt;0),"",IFERROR(IF(AND(N16&lt;&gt;"",SUMIFS(Cant!$I$2:$I$99,Cant!$M$2:$M$99,N16,Cant!$J$2:$J$99,"43/1.0")+SUMIFS(Cant!$I$2:$I$99,Cant!$M$2:$M$99,N16,Cant!$J$2:$J$99,"43/0.8")+SUMIFS(Cant!$I$2:$I$99,Cant!$M$2:$M$99,N16,Cant!$J$2:$J$99,"42/1.0")&gt;0),SUMIFS(Cant!$I$2:$I$99,Cant!$M$2:$M$99,N16,Cant!$J$2:$J$99,"43/1.0")+SUMIFS(Cant!$I$2:$I$99,Cant!$M$2:$M$99,N16,Cant!$J$2:$J$99,"43/0.8")+SUMIFS(Cant!$I$2:$I$99,Cant!$M$2:$M$99,N16,Cant!$J$2:$J$99,"42/1.0"),""),""))</f>
        <v/>
      </c>
      <c r="P16" s="67" t="str">
        <f t="shared" si="4"/>
        <v/>
      </c>
      <c r="Q16" s="30" t="str">
        <f>IF(AND(F16&lt;&gt;"",COUNTIF($F$11:F15,F16)&gt;0),"",IFERROR(IF(AND(P16&lt;&gt;"",SUMIFS(Cant!$I$2:$I$99,Cant!$M$2:$M$99,P16,Cant!$J$2:$J$99,"43/1.5")+SUMIFS(Cant!$I$2:$I$99,Cant!$M$2:$M$99,P16,Cant!$J$2:$J$99,"24/1.5")&gt;0),SUMIFS(Cant!$I$2:$I$99,Cant!$M$2:$M$99,P16,Cant!$J$2:$J$99,"43/1.5")+SUMIFS(Cant!$I$2:$I$99,Cant!$M$2:$M$99,P16,Cant!$J$2:$J$99,"24/1.5"),""),""))</f>
        <v/>
      </c>
      <c r="R16" s="67" t="str">
        <f t="shared" si="5"/>
        <v/>
      </c>
      <c r="S16" s="30" t="str">
        <f>IF(AND(F16&lt;&gt;"",COUNTIF($F$11:F15,F16)&gt;0),"",IFERROR(IF(AND(R16&lt;&gt;"",SUMIFS(Cant!$I$2:$I$99,Cant!$M$2:$M$99,R16,Cant!$J$2:$J$99,"43/2.0")&gt;0),SUMIFS(Cant!$I$2:$I$99,Cant!$M$2:$M$99,R16,Cant!$J$2:$J$99,"43/2.0"),""),""))</f>
        <v/>
      </c>
    </row>
    <row r="17" spans="1:19">
      <c r="A17" s="176"/>
      <c r="B17" s="108" t="str" cm="1">
        <f t="array" ref="B17">IFERROR(_xlfn.SINGLE(INDEX(Deco!$Y$2:$Y$99,_xlfn.AGGREGATE(15,6,ROW(Deco!$Y$2:$Y$99)-ROW(Deco!$Y$2)+1/(Deco!$W$2:$W$99="PAL"),7))),"")</f>
        <v/>
      </c>
      <c r="C17" s="109" t="str" cm="1">
        <f t="array" ref="C17">IFERROR(
  IF(D17="buc",
    IF(B17&lt;&gt;"",
      INDEX(Deco!$C$2:$C$99, MATCH(1, (Deco!$Y$2:$Y$99=B17)*(Deco!$W$2:$W$99="PAL"), 0)),
    ""),
    IF(AND(B17&lt;&gt;"", INDEX(Deco!$W$2:$W$99, MATCH(1, (Deco!$Y$2:$Y$99=B17)*(Deco!$W$2:$W$99="PAL"), 0))="PAL"),
      INDEX(Deco!$V$2:$V$99, MATCH(1, (Deco!$Y$2:$Y$99=B17)*(Deco!$W$2:$W$99="PAL"), 0)),
    "")
  ),
"")</f>
        <v/>
      </c>
      <c r="D17" s="37" t="str" cm="1">
        <f t="array" ref="D17">IF(I3="Debitare căntuire", IF(OR(RIGHT(B17,1)={"0","1","2","3","4","5","6","7","8","9"},RIGHT(B17,2)="SM",RIGHT(B17,2)="PM",RIGHT(B17,2)="PG",RIGHT(B17,2)="mm",RIGHT(B17,2)="mp",RIGHT(B17,2)="PA",RIGHT(B17,2)="3D"),"buc","mp"), "mp")</f>
        <v>mp</v>
      </c>
      <c r="E17" s="2"/>
      <c r="F17" s="150" t="str" cm="1">
        <f t="array" ref="F17">IFERROR(INDEX(Cant!$M$2:$M$99,_xlfn.AGGREGATE(15,6,(ROW(Cant!$M$2:$M$99)-ROW(Cant!$M$2)+1)/((Cant!$M$2:$M$99&lt;&gt;"")*(COUNTIF($F$10:F16,Cant!$M$2:$M$99)=0)),1)),"")</f>
        <v/>
      </c>
      <c r="G17" s="81" t="str">
        <f>IF(AND(F17&lt;&gt;"",COUNTIF($F$11:F16,F17)&gt;0),"",
  IFERROR(
    IF(AND(F17&lt;&gt;"",
      SUMIFS(Cant!$I$2:$I$99,Cant!$M$2:$M$99,F17,Cant!$J$2:$J$99,"22/0.4")
      +SUMIFS(Cant!$I$2:$I$99,Cant!$M$2:$M$99,F17,Cant!$J$2:$J$99,"22/0.5")&gt;0),
      SUMIFS(Cant!$I$2:$I$99,Cant!$M$2:$M$99,F17,Cant!$J$2:$J$99,"22/0.4")
      +SUMIFS(Cant!$I$2:$I$99,Cant!$M$2:$M$99,F17,Cant!$J$2:$J$99,"22/0.5"),
    ""),
  "")
)</f>
        <v/>
      </c>
      <c r="H17" s="85" t="str">
        <f t="shared" si="0"/>
        <v/>
      </c>
      <c r="I17" s="86" t="str">
        <f>IF(AND(F17&lt;&gt;"",COUNTIF($F$11:F16,F17)&gt;0),"",IFERROR(
   IF(AND(H17&lt;&gt;"",
      SUMIFS(Cant!$I$2:$I$99,Cant!$M$2:$M$99,H17,Cant!$J$2:$J$99,"22/1.0")
     +SUMIFS(Cant!$I$2:$I$99,Cant!$M$2:$M$99,H17,Cant!$J$2:$J$99,"23/1.0")&gt;0),
      SUMIFS(Cant!$I$2:$I$99,Cant!$M$2:$M$99,H17,Cant!$J$2:$J$99,"22/1.0")
     +SUMIFS(Cant!$I$2:$I$99,Cant!$M$2:$M$99,H17,Cant!$J$2:$J$99,"23/1.0"),
   ""),""))</f>
        <v/>
      </c>
      <c r="J17" s="90" t="str">
        <f t="shared" si="1"/>
        <v/>
      </c>
      <c r="K17" s="91" t="str">
        <f>IF(AND(F17&lt;&gt;"",COUNTIF($F$11:F16,F17)&gt;0),"",IFERROR(IF(AND(J17&lt;&gt;"",SUMIFS(Cant!$I$2:$I$99,Cant!$M$2:$M$99,J17,Cant!$J$2:$J$99,"23/0.8")&gt;0),SUMIFS(Cant!$I$2:$I$99,Cant!$M$2:$M$99,J17,Cant!$J$2:$J$99,"23/0.8"),""),""))</f>
        <v/>
      </c>
      <c r="L17" s="95" t="str">
        <f t="shared" si="2"/>
        <v/>
      </c>
      <c r="M17" s="96" t="str">
        <f>IF(AND(F17&lt;&gt;"",COUNTIF($F$11:F16,F17)&gt;0),"",IFERROR(IF(AND(L17&lt;&gt;"",SUMIFS(Cant!$I$2:$I$99,Cant!$M$2:$M$99,L17,Cant!$J$2:$J$99,"23/2.0")&gt;0),SUMIFS(Cant!$I$2:$I$99,Cant!$M$2:$M$99,L17,Cant!$J$2:$J$99,"23/2.0"),""),""))</f>
        <v/>
      </c>
      <c r="N17" s="67" t="str">
        <f t="shared" si="3"/>
        <v/>
      </c>
      <c r="O17" s="30" t="str">
        <f>IF(AND(F17&lt;&gt;"",COUNTIF($F$11:F16,F17)&gt;0),"",IFERROR(IF(AND(N17&lt;&gt;"",SUMIFS(Cant!$I$2:$I$99,Cant!$M$2:$M$99,N17,Cant!$J$2:$J$99,"43/1.0")+SUMIFS(Cant!$I$2:$I$99,Cant!$M$2:$M$99,N17,Cant!$J$2:$J$99,"43/0.8")+SUMIFS(Cant!$I$2:$I$99,Cant!$M$2:$M$99,N17,Cant!$J$2:$J$99,"42/1.0")&gt;0),SUMIFS(Cant!$I$2:$I$99,Cant!$M$2:$M$99,N17,Cant!$J$2:$J$99,"43/1.0")+SUMIFS(Cant!$I$2:$I$99,Cant!$M$2:$M$99,N17,Cant!$J$2:$J$99,"43/0.8")+SUMIFS(Cant!$I$2:$I$99,Cant!$M$2:$M$99,N17,Cant!$J$2:$J$99,"42/1.0"),""),""))</f>
        <v/>
      </c>
      <c r="P17" s="67" t="str">
        <f t="shared" si="4"/>
        <v/>
      </c>
      <c r="Q17" s="30" t="str">
        <f>IF(AND(F17&lt;&gt;"",COUNTIF($F$11:F16,F17)&gt;0),"",IFERROR(IF(AND(P17&lt;&gt;"",SUMIFS(Cant!$I$2:$I$99,Cant!$M$2:$M$99,P17,Cant!$J$2:$J$99,"43/1.5")+SUMIFS(Cant!$I$2:$I$99,Cant!$M$2:$M$99,P17,Cant!$J$2:$J$99,"24/1.5")&gt;0),SUMIFS(Cant!$I$2:$I$99,Cant!$M$2:$M$99,P17,Cant!$J$2:$J$99,"43/1.5")+SUMIFS(Cant!$I$2:$I$99,Cant!$M$2:$M$99,P17,Cant!$J$2:$J$99,"24/1.5"),""),""))</f>
        <v/>
      </c>
      <c r="R17" s="67" t="str">
        <f t="shared" si="5"/>
        <v/>
      </c>
      <c r="S17" s="30" t="str">
        <f>IF(AND(F17&lt;&gt;"",COUNTIF($F$11:F16,F17)&gt;0),"",IFERROR(IF(AND(R17&lt;&gt;"",SUMIFS(Cant!$I$2:$I$99,Cant!$M$2:$M$99,R17,Cant!$J$2:$J$99,"43/2.0")&gt;0),SUMIFS(Cant!$I$2:$I$99,Cant!$M$2:$M$99,R17,Cant!$J$2:$J$99,"43/2.0"),""),""))</f>
        <v/>
      </c>
    </row>
    <row r="18" spans="1:19">
      <c r="A18" s="176"/>
      <c r="B18" s="108" t="str" cm="1">
        <f t="array" ref="B18">IFERROR(_xlfn.SINGLE(INDEX(Deco!$Y$2:$Y$99,_xlfn.AGGREGATE(15,6,ROW(Deco!$Y$2:$Y$99)-ROW(Deco!$Y$2)+1/(Deco!$W$2:$W$99="PAL"),8))),"")</f>
        <v/>
      </c>
      <c r="C18" s="109" t="str" cm="1">
        <f t="array" ref="C18">IFERROR(
  IF(D18="buc",
    IF(B18&lt;&gt;"",
      INDEX(Deco!$C$2:$C$99, MATCH(1, (Deco!$Y$2:$Y$99=B18)*(Deco!$W$2:$W$99="PAL"), 0)),
    ""),
    IF(AND(B18&lt;&gt;"", INDEX(Deco!$W$2:$W$99, MATCH(1, (Deco!$Y$2:$Y$99=B18)*(Deco!$W$2:$W$99="PAL"), 0))="PAL"),
      INDEX(Deco!$V$2:$V$99, MATCH(1, (Deco!$Y$2:$Y$99=B18)*(Deco!$W$2:$W$99="PAL"), 0)),
    "")
  ),
"")</f>
        <v/>
      </c>
      <c r="D18" s="37" t="str" cm="1">
        <f t="array" ref="D18">IF(I3="Debitare căntuire", IF(OR(RIGHT(B18,1)={"0","1","2","3","4","5","6","7","8","9"},RIGHT(B18,2)="SM",RIGHT(B18,2)="PM",RIGHT(B18,2)="PG",RIGHT(B18,2)="mm",RIGHT(B18,2)="mp",RIGHT(B18,2)="PA",RIGHT(B18,2)="3D"),"buc","mp"), "mp")</f>
        <v>mp</v>
      </c>
      <c r="E18" s="2"/>
      <c r="F18" s="150" t="str" cm="1">
        <f t="array" ref="F18">IFERROR(INDEX(Cant!$M$2:$M$99,_xlfn.AGGREGATE(15,6,(ROW(Cant!$M$2:$M$99)-ROW(Cant!$M$2)+1)/((Cant!$M$2:$M$99&lt;&gt;"")*(COUNTIF($F$10:F17,Cant!$M$2:$M$99)=0)),1)),"")</f>
        <v/>
      </c>
      <c r="G18" s="81" t="str">
        <f>IF(AND(F18&lt;&gt;"",COUNTIF($F$11:F17,F18)&gt;0),"",
  IFERROR(
    IF(AND(F18&lt;&gt;"",
      SUMIFS(Cant!$I$2:$I$99,Cant!$M$2:$M$99,F18,Cant!$J$2:$J$99,"22/0.4")
      +SUMIFS(Cant!$I$2:$I$99,Cant!$M$2:$M$99,F18,Cant!$J$2:$J$99,"22/0.5")&gt;0),
      SUMIFS(Cant!$I$2:$I$99,Cant!$M$2:$M$99,F18,Cant!$J$2:$J$99,"22/0.4")
      +SUMIFS(Cant!$I$2:$I$99,Cant!$M$2:$M$99,F18,Cant!$J$2:$J$99,"22/0.5"),
    ""),
  "")
)</f>
        <v/>
      </c>
      <c r="H18" s="85" t="str">
        <f t="shared" si="0"/>
        <v/>
      </c>
      <c r="I18" s="86" t="str">
        <f>IF(AND(F18&lt;&gt;"",COUNTIF($F$11:F17,F18)&gt;0),"",IFERROR(
   IF(AND(H18&lt;&gt;"",
      SUMIFS(Cant!$I$2:$I$99,Cant!$M$2:$M$99,H18,Cant!$J$2:$J$99,"22/1.0")
     +SUMIFS(Cant!$I$2:$I$99,Cant!$M$2:$M$99,H18,Cant!$J$2:$J$99,"23/1.0")&gt;0),
      SUMIFS(Cant!$I$2:$I$99,Cant!$M$2:$M$99,H18,Cant!$J$2:$J$99,"22/1.0")
     +SUMIFS(Cant!$I$2:$I$99,Cant!$M$2:$M$99,H18,Cant!$J$2:$J$99,"23/1.0"),
   ""),""))</f>
        <v/>
      </c>
      <c r="J18" s="90" t="str">
        <f t="shared" si="1"/>
        <v/>
      </c>
      <c r="K18" s="91" t="str">
        <f>IF(AND(F18&lt;&gt;"",COUNTIF($F$11:F17,F18)&gt;0),"",IFERROR(IF(AND(J18&lt;&gt;"",SUMIFS(Cant!$I$2:$I$99,Cant!$M$2:$M$99,J18,Cant!$J$2:$J$99,"23/0.8")&gt;0),SUMIFS(Cant!$I$2:$I$99,Cant!$M$2:$M$99,J18,Cant!$J$2:$J$99,"23/0.8"),""),""))</f>
        <v/>
      </c>
      <c r="L18" s="95" t="str">
        <f t="shared" si="2"/>
        <v/>
      </c>
      <c r="M18" s="96" t="str">
        <f>IF(AND(F18&lt;&gt;"",COUNTIF($F$11:F17,F18)&gt;0),"",IFERROR(IF(AND(L18&lt;&gt;"",SUMIFS(Cant!$I$2:$I$99,Cant!$M$2:$M$99,L18,Cant!$J$2:$J$99,"23/2.0")&gt;0),SUMIFS(Cant!$I$2:$I$99,Cant!$M$2:$M$99,L18,Cant!$J$2:$J$99,"23/2.0"),""),""))</f>
        <v/>
      </c>
      <c r="N18" s="67" t="str">
        <f t="shared" si="3"/>
        <v/>
      </c>
      <c r="O18" s="30" t="str">
        <f>IF(AND(F18&lt;&gt;"",COUNTIF($F$11:F17,F18)&gt;0),"",IFERROR(IF(AND(N18&lt;&gt;"",SUMIFS(Cant!$I$2:$I$99,Cant!$M$2:$M$99,N18,Cant!$J$2:$J$99,"43/1.0")+SUMIFS(Cant!$I$2:$I$99,Cant!$M$2:$M$99,N18,Cant!$J$2:$J$99,"43/0.8")+SUMIFS(Cant!$I$2:$I$99,Cant!$M$2:$M$99,N18,Cant!$J$2:$J$99,"42/1.0")&gt;0),SUMIFS(Cant!$I$2:$I$99,Cant!$M$2:$M$99,N18,Cant!$J$2:$J$99,"43/1.0")+SUMIFS(Cant!$I$2:$I$99,Cant!$M$2:$M$99,N18,Cant!$J$2:$J$99,"43/0.8")+SUMIFS(Cant!$I$2:$I$99,Cant!$M$2:$M$99,N18,Cant!$J$2:$J$99,"42/1.0"),""),""))</f>
        <v/>
      </c>
      <c r="P18" s="67" t="str">
        <f t="shared" si="4"/>
        <v/>
      </c>
      <c r="Q18" s="30" t="str">
        <f>IF(AND(F18&lt;&gt;"",COUNTIF($F$11:F17,F18)&gt;0),"",IFERROR(IF(AND(P18&lt;&gt;"",SUMIFS(Cant!$I$2:$I$99,Cant!$M$2:$M$99,P18,Cant!$J$2:$J$99,"43/1.5")+SUMIFS(Cant!$I$2:$I$99,Cant!$M$2:$M$99,P18,Cant!$J$2:$J$99,"24/1.5")&gt;0),SUMIFS(Cant!$I$2:$I$99,Cant!$M$2:$M$99,P18,Cant!$J$2:$J$99,"43/1.5")+SUMIFS(Cant!$I$2:$I$99,Cant!$M$2:$M$99,P18,Cant!$J$2:$J$99,"24/1.5"),""),""))</f>
        <v/>
      </c>
      <c r="R18" s="67" t="str">
        <f t="shared" si="5"/>
        <v/>
      </c>
      <c r="S18" s="30" t="str">
        <f>IF(AND(F18&lt;&gt;"",COUNTIF($F$11:F17,F18)&gt;0),"",IFERROR(IF(AND(R18&lt;&gt;"",SUMIFS(Cant!$I$2:$I$99,Cant!$M$2:$M$99,R18,Cant!$J$2:$J$99,"43/2.0")&gt;0),SUMIFS(Cant!$I$2:$I$99,Cant!$M$2:$M$99,R18,Cant!$J$2:$J$99,"43/2.0"),""),""))</f>
        <v/>
      </c>
    </row>
    <row r="19" spans="1:19">
      <c r="A19" s="176"/>
      <c r="B19" s="108" t="str" cm="1">
        <f t="array" ref="B19">IFERROR(_xlfn.SINGLE(INDEX(Deco!$Y$2:$Y$99,_xlfn.AGGREGATE(15,6,ROW(Deco!$Y$2:$Y$99)-ROW(Deco!$Y$2)+1/(Deco!$W$2:$W$99="PAL"),9))),"")</f>
        <v/>
      </c>
      <c r="C19" s="109" t="str" cm="1">
        <f t="array" ref="C19">IFERROR(
  IF(D19="buc",
    IF(B19&lt;&gt;"",
      INDEX(Deco!$C$2:$C$99, MATCH(1, (Deco!$Y$2:$Y$99=B19)*(Deco!$W$2:$W$99="PAL"), 0)),
    ""),
    IF(AND(B19&lt;&gt;"", INDEX(Deco!$W$2:$W$99, MATCH(1, (Deco!$Y$2:$Y$99=B19)*(Deco!$W$2:$W$99="PAL"), 0))="PAL"),
      INDEX(Deco!$V$2:$V$99, MATCH(1, (Deco!$Y$2:$Y$99=B19)*(Deco!$W$2:$W$99="PAL"), 0)),
    "")
  ),
"")</f>
        <v/>
      </c>
      <c r="D19" s="37" t="str" cm="1">
        <f t="array" ref="D19">IF(I3="Debitare căntuire", IF(OR(RIGHT(B19,1)={"0","1","2","3","4","5","6","7","8","9"},RIGHT(B19,2)="SM",RIGHT(B19,2)="PM",RIGHT(B19,2)="PG",RIGHT(B19,2)="mm",RIGHT(B19,2)="mp",,RIGHT(B19,2)="PA",RIGHT(B19,2)="3D"),"buc","mp"), "mp")</f>
        <v>mp</v>
      </c>
      <c r="E19" s="2"/>
      <c r="F19" s="150" t="str" cm="1">
        <f t="array" ref="F19">IFERROR(INDEX(Cant!$M$2:$M$99,_xlfn.AGGREGATE(15,6,(ROW(Cant!$M$2:$M$99)-ROW(Cant!$M$2)+1)/((Cant!$M$2:$M$99&lt;&gt;"")*(COUNTIF($F$10:F18,Cant!$M$2:$M$99)=0)),1)),"")</f>
        <v/>
      </c>
      <c r="G19" s="81" t="str">
        <f>IF(AND(F19&lt;&gt;"",COUNTIF($F$11:F18,F19)&gt;0),"",
  IFERROR(
    IF(AND(F19&lt;&gt;"",
      SUMIFS(Cant!$I$2:$I$99,Cant!$M$2:$M$99,F19,Cant!$J$2:$J$99,"22/0.4")
      +SUMIFS(Cant!$I$2:$I$99,Cant!$M$2:$M$99,F19,Cant!$J$2:$J$99,"22/0.5")&gt;0),
      SUMIFS(Cant!$I$2:$I$99,Cant!$M$2:$M$99,F19,Cant!$J$2:$J$99,"22/0.4")
      +SUMIFS(Cant!$I$2:$I$99,Cant!$M$2:$M$99,F19,Cant!$J$2:$J$99,"22/0.5"),
    ""),
  "")
)</f>
        <v/>
      </c>
      <c r="H19" s="85" t="str">
        <f t="shared" si="0"/>
        <v/>
      </c>
      <c r="I19" s="86" t="str">
        <f>IF(AND(F19&lt;&gt;"",COUNTIF($F$11:F18,F19)&gt;0),"",IFERROR(
   IF(AND(H19&lt;&gt;"",
      SUMIFS(Cant!$I$2:$I$99,Cant!$M$2:$M$99,H19,Cant!$J$2:$J$99,"22/1.0")
     +SUMIFS(Cant!$I$2:$I$99,Cant!$M$2:$M$99,H19,Cant!$J$2:$J$99,"23/1.0")&gt;0),
      SUMIFS(Cant!$I$2:$I$99,Cant!$M$2:$M$99,H19,Cant!$J$2:$J$99,"22/1.0")
     +SUMIFS(Cant!$I$2:$I$99,Cant!$M$2:$M$99,H19,Cant!$J$2:$J$99,"23/1.0"),
   ""),""))</f>
        <v/>
      </c>
      <c r="J19" s="90" t="str">
        <f t="shared" si="1"/>
        <v/>
      </c>
      <c r="K19" s="91" t="str">
        <f>IF(AND(F19&lt;&gt;"",COUNTIF($F$11:F18,F19)&gt;0),"",IFERROR(IF(AND(J19&lt;&gt;"",SUMIFS(Cant!$I$2:$I$99,Cant!$M$2:$M$99,J19,Cant!$J$2:$J$99,"23/0.8")&gt;0),SUMIFS(Cant!$I$2:$I$99,Cant!$M$2:$M$99,J19,Cant!$J$2:$J$99,"23/0.8"),""),""))</f>
        <v/>
      </c>
      <c r="L19" s="95" t="str">
        <f t="shared" si="2"/>
        <v/>
      </c>
      <c r="M19" s="96" t="str">
        <f>IF(AND(F19&lt;&gt;"",COUNTIF($F$11:F18,F19)&gt;0),"",IFERROR(IF(AND(L19&lt;&gt;"",SUMIFS(Cant!$I$2:$I$99,Cant!$M$2:$M$99,L19,Cant!$J$2:$J$99,"23/2.0")&gt;0),SUMIFS(Cant!$I$2:$I$99,Cant!$M$2:$M$99,L19,Cant!$J$2:$J$99,"23/2.0"),""),""))</f>
        <v/>
      </c>
      <c r="N19" s="67" t="str">
        <f t="shared" si="3"/>
        <v/>
      </c>
      <c r="O19" s="30" t="str">
        <f>IF(AND(F19&lt;&gt;"",COUNTIF($F$11:F18,F19)&gt;0),"",IFERROR(IF(AND(N19&lt;&gt;"",SUMIFS(Cant!$I$2:$I$99,Cant!$M$2:$M$99,N19,Cant!$J$2:$J$99,"43/1.0")+SUMIFS(Cant!$I$2:$I$99,Cant!$M$2:$M$99,N19,Cant!$J$2:$J$99,"43/0.8")+SUMIFS(Cant!$I$2:$I$99,Cant!$M$2:$M$99,N19,Cant!$J$2:$J$99,"42/1.0")&gt;0),SUMIFS(Cant!$I$2:$I$99,Cant!$M$2:$M$99,N19,Cant!$J$2:$J$99,"43/1.0")+SUMIFS(Cant!$I$2:$I$99,Cant!$M$2:$M$99,N19,Cant!$J$2:$J$99,"43/0.8")+SUMIFS(Cant!$I$2:$I$99,Cant!$M$2:$M$99,N19,Cant!$J$2:$J$99,"42/1.0"),""),""))</f>
        <v/>
      </c>
      <c r="P19" s="67" t="str">
        <f t="shared" si="4"/>
        <v/>
      </c>
      <c r="Q19" s="30" t="str">
        <f>IF(AND(F19&lt;&gt;"",COUNTIF($F$11:F18,F19)&gt;0),"",IFERROR(IF(AND(P19&lt;&gt;"",SUMIFS(Cant!$I$2:$I$99,Cant!$M$2:$M$99,P19,Cant!$J$2:$J$99,"43/1.5")+SUMIFS(Cant!$I$2:$I$99,Cant!$M$2:$M$99,P19,Cant!$J$2:$J$99,"24/1.5")&gt;0),SUMIFS(Cant!$I$2:$I$99,Cant!$M$2:$M$99,P19,Cant!$J$2:$J$99,"43/1.5")+SUMIFS(Cant!$I$2:$I$99,Cant!$M$2:$M$99,P19,Cant!$J$2:$J$99,"24/1.5"),""),""))</f>
        <v/>
      </c>
      <c r="R19" s="67" t="str">
        <f t="shared" si="5"/>
        <v/>
      </c>
      <c r="S19" s="30" t="str">
        <f>IF(AND(F19&lt;&gt;"",COUNTIF($F$11:F18,F19)&gt;0),"",IFERROR(IF(AND(R19&lt;&gt;"",SUMIFS(Cant!$I$2:$I$99,Cant!$M$2:$M$99,R19,Cant!$J$2:$J$99,"43/2.0")&gt;0),SUMIFS(Cant!$I$2:$I$99,Cant!$M$2:$M$99,R19,Cant!$J$2:$J$99,"43/2.0"),""),""))</f>
        <v/>
      </c>
    </row>
    <row r="20" spans="1:19">
      <c r="A20" s="176"/>
      <c r="B20" s="108" t="str" cm="1">
        <f t="array" ref="B20">IFERROR(_xlfn.SINGLE(INDEX(Deco!$Y$2:$Y$99,_xlfn.AGGREGATE(15,6,ROW(Deco!$Y$2:$Y$99)-ROW(Deco!$Y$2)+1/(Deco!$W$2:$W$99="PAL"),10))),"")</f>
        <v/>
      </c>
      <c r="C20" s="109" t="str" cm="1">
        <f t="array" ref="C20">IFERROR(
  IF(D20="buc",
    IF(B20&lt;&gt;"",
      INDEX(Deco!$C$2:$C$99, MATCH(1, (Deco!$Y$2:$Y$99=B20)*(Deco!$W$2:$W$99="PAL"), 0)),
    ""),
    IF(AND(B20&lt;&gt;"", INDEX(Deco!$W$2:$W$99, MATCH(1, (Deco!$Y$2:$Y$99=B20)*(Deco!$W$2:$W$99="PAL"), 0))="PAL"),
      INDEX(Deco!$V$2:$V$99, MATCH(1, (Deco!$Y$2:$Y$99=B20)*(Deco!$W$2:$W$99="PAL"), 0)),
    "")
  ),
"")</f>
        <v/>
      </c>
      <c r="D20" s="37" t="str" cm="1">
        <f t="array" ref="D20">IF(I3="Debitare căntuire", IF(OR(RIGHT(B20,1)={"0","1","2","3","4","5","6","7","8","9"},RIGHT(B20,2)="SM",RIGHT(B20,2)="PM",RIGHT(B20,2)="PG",RIGHT(B20,2)="mm",RIGHT(B20,2)="mp",RIGHT(B20,2)="PA",RIGHT(B20,2)="3D"),"buc","mp"), "mp")</f>
        <v>mp</v>
      </c>
      <c r="E20" s="2"/>
      <c r="F20" s="150" t="str" cm="1">
        <f t="array" ref="F20">IFERROR(INDEX(Cant!$M$2:$M$99,_xlfn.AGGREGATE(15,6,(ROW(Cant!$M$2:$M$99)-ROW(Cant!$M$2)+1)/((Cant!$M$2:$M$99&lt;&gt;"")*(COUNTIF($F$10:F19,Cant!$M$2:$M$99)=0)),1)),"")</f>
        <v/>
      </c>
      <c r="G20" s="81" t="str">
        <f>IF(AND(F20&lt;&gt;"",COUNTIF($F$11:F19,F20)&gt;0),"",
  IFERROR(
    IF(AND(F20&lt;&gt;"",
      SUMIFS(Cant!$I$2:$I$99,Cant!$M$2:$M$99,F20,Cant!$J$2:$J$99,"22/0.4")
      +SUMIFS(Cant!$I$2:$I$99,Cant!$M$2:$M$99,F20,Cant!$J$2:$J$99,"22/0.5")&gt;0),
      SUMIFS(Cant!$I$2:$I$99,Cant!$M$2:$M$99,F20,Cant!$J$2:$J$99,"22/0.4")
      +SUMIFS(Cant!$I$2:$I$99,Cant!$M$2:$M$99,F20,Cant!$J$2:$J$99,"22/0.5"),
    ""),
  "")
)</f>
        <v/>
      </c>
      <c r="H20" s="85" t="str">
        <f t="shared" si="0"/>
        <v/>
      </c>
      <c r="I20" s="86" t="str">
        <f>IF(AND(F20&lt;&gt;"",COUNTIF($F$11:F19,F20)&gt;0),"",IFERROR(
   IF(AND(H20&lt;&gt;"",
      SUMIFS(Cant!$I$2:$I$99,Cant!$M$2:$M$99,H20,Cant!$J$2:$J$99,"22/1.0")
     +SUMIFS(Cant!$I$2:$I$99,Cant!$M$2:$M$99,H20,Cant!$J$2:$J$99,"23/1.0")&gt;0),
      SUMIFS(Cant!$I$2:$I$99,Cant!$M$2:$M$99,H20,Cant!$J$2:$J$99,"22/1.0")
     +SUMIFS(Cant!$I$2:$I$99,Cant!$M$2:$M$99,H20,Cant!$J$2:$J$99,"23/1.0"),
   ""),""))</f>
        <v/>
      </c>
      <c r="J20" s="90" t="str">
        <f t="shared" si="1"/>
        <v/>
      </c>
      <c r="K20" s="91" t="str">
        <f>IF(AND(F20&lt;&gt;"",COUNTIF($F$11:F19,F20)&gt;0),"",IFERROR(IF(AND(J20&lt;&gt;"",SUMIFS(Cant!$I$2:$I$99,Cant!$M$2:$M$99,J20,Cant!$J$2:$J$99,"23/0.8")&gt;0),SUMIFS(Cant!$I$2:$I$99,Cant!$M$2:$M$99,J20,Cant!$J$2:$J$99,"23/0.8"),""),""))</f>
        <v/>
      </c>
      <c r="L20" s="95" t="str">
        <f t="shared" si="2"/>
        <v/>
      </c>
      <c r="M20" s="96" t="str">
        <f>IF(AND(F20&lt;&gt;"",COUNTIF($F$11:F19,F20)&gt;0),"",IFERROR(IF(AND(L20&lt;&gt;"",SUMIFS(Cant!$I$2:$I$99,Cant!$M$2:$M$99,L20,Cant!$J$2:$J$99,"23/2.0")&gt;0),SUMIFS(Cant!$I$2:$I$99,Cant!$M$2:$M$99,L20,Cant!$J$2:$J$99,"23/2.0"),""),""))</f>
        <v/>
      </c>
      <c r="N20" s="67" t="str">
        <f t="shared" si="3"/>
        <v/>
      </c>
      <c r="O20" s="30" t="str">
        <f>IF(AND(F20&lt;&gt;"",COUNTIF($F$11:F19,F20)&gt;0),"",IFERROR(IF(AND(N20&lt;&gt;"",SUMIFS(Cant!$I$2:$I$99,Cant!$M$2:$M$99,N20,Cant!$J$2:$J$99,"43/1.0")+SUMIFS(Cant!$I$2:$I$99,Cant!$M$2:$M$99,N20,Cant!$J$2:$J$99,"43/0.8")+SUMIFS(Cant!$I$2:$I$99,Cant!$M$2:$M$99,N20,Cant!$J$2:$J$99,"42/1.0")&gt;0),SUMIFS(Cant!$I$2:$I$99,Cant!$M$2:$M$99,N20,Cant!$J$2:$J$99,"43/1.0")+SUMIFS(Cant!$I$2:$I$99,Cant!$M$2:$M$99,N20,Cant!$J$2:$J$99,"43/0.8")+SUMIFS(Cant!$I$2:$I$99,Cant!$M$2:$M$99,N20,Cant!$J$2:$J$99,"42/1.0"),""),""))</f>
        <v/>
      </c>
      <c r="P20" s="67" t="str">
        <f t="shared" si="4"/>
        <v/>
      </c>
      <c r="Q20" s="30" t="str">
        <f>IF(AND(F20&lt;&gt;"",COUNTIF($F$11:F19,F20)&gt;0),"",IFERROR(IF(AND(P20&lt;&gt;"",SUMIFS(Cant!$I$2:$I$99,Cant!$M$2:$M$99,P20,Cant!$J$2:$J$99,"43/1.5")+SUMIFS(Cant!$I$2:$I$99,Cant!$M$2:$M$99,P20,Cant!$J$2:$J$99,"24/1.5")&gt;0),SUMIFS(Cant!$I$2:$I$99,Cant!$M$2:$M$99,P20,Cant!$J$2:$J$99,"43/1.5")+SUMIFS(Cant!$I$2:$I$99,Cant!$M$2:$M$99,P20,Cant!$J$2:$J$99,"24/1.5"),""),""))</f>
        <v/>
      </c>
      <c r="R20" s="67" t="str">
        <f t="shared" si="5"/>
        <v/>
      </c>
      <c r="S20" s="30" t="str">
        <f>IF(AND(F20&lt;&gt;"",COUNTIF($F$11:F19,F20)&gt;0),"",IFERROR(IF(AND(R20&lt;&gt;"",SUMIFS(Cant!$I$2:$I$99,Cant!$M$2:$M$99,R20,Cant!$J$2:$J$99,"43/2.0")&gt;0),SUMIFS(Cant!$I$2:$I$99,Cant!$M$2:$M$99,R20,Cant!$J$2:$J$99,"43/2.0"),""),""))</f>
        <v/>
      </c>
    </row>
    <row r="21" spans="1:19">
      <c r="A21" s="176"/>
      <c r="B21" s="108" t="str" cm="1">
        <f t="array" ref="B21">IFERROR(_xlfn.SINGLE(INDEX(Deco!$Y$2:$Y$99,_xlfn.AGGREGATE(15,6,ROW(Deco!$Y$2:$Y$99)-ROW(Deco!$Y$2)+1/(Deco!$W$2:$W$99="PAL"),11))),"")</f>
        <v/>
      </c>
      <c r="C21" s="109" t="str" cm="1">
        <f t="array" ref="C21">IFERROR(
  IF(D21="buc",
    IF(B21&lt;&gt;"",
      INDEX(Deco!$C$2:$C$99, MATCH(1, (Deco!$Y$2:$Y$99=B21)*(Deco!$W$2:$W$99="PAL"), 0)),
    ""),
    IF(AND(B21&lt;&gt;"", INDEX(Deco!$W$2:$W$99, MATCH(1, (Deco!$Y$2:$Y$99=B21)*(Deco!$W$2:$W$99="PAL"), 0))="PAL"),
      INDEX(Deco!$V$2:$V$99, MATCH(1, (Deco!$Y$2:$Y$99=B21)*(Deco!$W$2:$W$99="PAL"), 0)),
    "")
  ),
"")</f>
        <v/>
      </c>
      <c r="D21" s="37" t="str" cm="1">
        <f t="array" ref="D21">IF(I3="Debitare căntuire", IF(OR(RIGHT(B21,1)={"0","1","2","3","4","5","6","7","8","9"},RIGHT(B21,2)="SM",RIGHT(B21,2)="PM",RIGHT(B21,2)="PG",RIGHT(B21,2)="mm",RIGHT(B21,2)="mp",RIGHT(B21,2)="PA",RIGHT(B21,2)="3D"),"buc","mp"), "mp")</f>
        <v>mp</v>
      </c>
      <c r="E21" s="2"/>
      <c r="F21" s="150" t="str" cm="1">
        <f t="array" ref="F21">IFERROR(INDEX(Cant!$M$2:$M$99,_xlfn.AGGREGATE(15,6,(ROW(Cant!$M$2:$M$99)-ROW(Cant!$M$2)+1)/((Cant!$M$2:$M$99&lt;&gt;"")*(COUNTIF($F$10:F20,Cant!$M$2:$M$99)=0)),1)),"")</f>
        <v/>
      </c>
      <c r="G21" s="81" t="str">
        <f>IF(AND(F21&lt;&gt;"",COUNTIF($F$11:F20,F21)&gt;0),"",
  IFERROR(
    IF(AND(F21&lt;&gt;"",
      SUMIFS(Cant!$I$2:$I$99,Cant!$M$2:$M$99,F21,Cant!$J$2:$J$99,"22/0.4")
      +SUMIFS(Cant!$I$2:$I$99,Cant!$M$2:$M$99,F21,Cant!$J$2:$J$99,"22/0.5")&gt;0),
      SUMIFS(Cant!$I$2:$I$99,Cant!$M$2:$M$99,F21,Cant!$J$2:$J$99,"22/0.4")
      +SUMIFS(Cant!$I$2:$I$99,Cant!$M$2:$M$99,F21,Cant!$J$2:$J$99,"22/0.5"),
    ""),
  "")
)</f>
        <v/>
      </c>
      <c r="H21" s="85" t="str">
        <f t="shared" si="0"/>
        <v/>
      </c>
      <c r="I21" s="86" t="str">
        <f>IF(AND(F21&lt;&gt;"",COUNTIF($F$11:F20,F21)&gt;0),"",IFERROR(
   IF(AND(H21&lt;&gt;"",
      SUMIFS(Cant!$I$2:$I$99,Cant!$M$2:$M$99,H21,Cant!$J$2:$J$99,"22/1.0")
     +SUMIFS(Cant!$I$2:$I$99,Cant!$M$2:$M$99,H21,Cant!$J$2:$J$99,"23/1.0")&gt;0),
      SUMIFS(Cant!$I$2:$I$99,Cant!$M$2:$M$99,H21,Cant!$J$2:$J$99,"22/1.0")
     +SUMIFS(Cant!$I$2:$I$99,Cant!$M$2:$M$99,H21,Cant!$J$2:$J$99,"23/1.0"),
   ""),""))</f>
        <v/>
      </c>
      <c r="J21" s="90" t="str">
        <f t="shared" si="1"/>
        <v/>
      </c>
      <c r="K21" s="91" t="str">
        <f>IF(AND(F21&lt;&gt;"",COUNTIF($F$11:F20,F21)&gt;0),"",IFERROR(IF(AND(J21&lt;&gt;"",SUMIFS(Cant!$I$2:$I$99,Cant!$M$2:$M$99,J21,Cant!$J$2:$J$99,"23/0.8")&gt;0),SUMIFS(Cant!$I$2:$I$99,Cant!$M$2:$M$99,J21,Cant!$J$2:$J$99,"23/0.8"),""),""))</f>
        <v/>
      </c>
      <c r="L21" s="95" t="str">
        <f t="shared" si="2"/>
        <v/>
      </c>
      <c r="M21" s="96" t="str">
        <f>IF(AND(F21&lt;&gt;"",COUNTIF($F$11:F20,F21)&gt;0),"",IFERROR(IF(AND(L21&lt;&gt;"",SUMIFS(Cant!$I$2:$I$99,Cant!$M$2:$M$99,L21,Cant!$J$2:$J$99,"23/2.0")&gt;0),SUMIFS(Cant!$I$2:$I$99,Cant!$M$2:$M$99,L21,Cant!$J$2:$J$99,"23/2.0"),""),""))</f>
        <v/>
      </c>
      <c r="N21" s="67" t="str">
        <f t="shared" si="3"/>
        <v/>
      </c>
      <c r="O21" s="30" t="str">
        <f>IF(AND(F21&lt;&gt;"",COUNTIF($F$11:F20,F21)&gt;0),"",IFERROR(IF(AND(N21&lt;&gt;"",SUMIFS(Cant!$I$2:$I$99,Cant!$M$2:$M$99,N21,Cant!$J$2:$J$99,"43/1.0")+SUMIFS(Cant!$I$2:$I$99,Cant!$M$2:$M$99,N21,Cant!$J$2:$J$99,"43/0.8")+SUMIFS(Cant!$I$2:$I$99,Cant!$M$2:$M$99,N21,Cant!$J$2:$J$99,"42/1.0")&gt;0),SUMIFS(Cant!$I$2:$I$99,Cant!$M$2:$M$99,N21,Cant!$J$2:$J$99,"43/1.0")+SUMIFS(Cant!$I$2:$I$99,Cant!$M$2:$M$99,N21,Cant!$J$2:$J$99,"43/0.8")+SUMIFS(Cant!$I$2:$I$99,Cant!$M$2:$M$99,N21,Cant!$J$2:$J$99,"42/1.0"),""),""))</f>
        <v/>
      </c>
      <c r="P21" s="67" t="str">
        <f t="shared" si="4"/>
        <v/>
      </c>
      <c r="Q21" s="30" t="str">
        <f>IF(AND(F21&lt;&gt;"",COUNTIF($F$11:F20,F21)&gt;0),"",IFERROR(IF(AND(P21&lt;&gt;"",SUMIFS(Cant!$I$2:$I$99,Cant!$M$2:$M$99,P21,Cant!$J$2:$J$99,"43/1.5")+SUMIFS(Cant!$I$2:$I$99,Cant!$M$2:$M$99,P21,Cant!$J$2:$J$99,"24/1.5")&gt;0),SUMIFS(Cant!$I$2:$I$99,Cant!$M$2:$M$99,P21,Cant!$J$2:$J$99,"43/1.5")+SUMIFS(Cant!$I$2:$I$99,Cant!$M$2:$M$99,P21,Cant!$J$2:$J$99,"24/1.5"),""),""))</f>
        <v/>
      </c>
      <c r="R21" s="67" t="str">
        <f t="shared" si="5"/>
        <v/>
      </c>
      <c r="S21" s="30" t="str">
        <f>IF(AND(F21&lt;&gt;"",COUNTIF($F$11:F20,F21)&gt;0),"",IFERROR(IF(AND(R21&lt;&gt;"",SUMIFS(Cant!$I$2:$I$99,Cant!$M$2:$M$99,R21,Cant!$J$2:$J$99,"43/2.0")&gt;0),SUMIFS(Cant!$I$2:$I$99,Cant!$M$2:$M$99,R21,Cant!$J$2:$J$99,"43/2.0"),""),""))</f>
        <v/>
      </c>
    </row>
    <row r="22" spans="1:19" ht="15" customHeight="1" thickBot="1">
      <c r="A22" s="177"/>
      <c r="B22" s="108" t="str" cm="1">
        <f t="array" ref="B22">IFERROR(_xlfn.SINGLE(INDEX(Deco!$Y$2:$Y$99,_xlfn.AGGREGATE(15,6,ROW(Deco!$Y$2:$Y$99)-ROW(Deco!$Y$2)+1/(Deco!$W$2:$W$99="PAL"),12))),"")</f>
        <v/>
      </c>
      <c r="C22" s="110" t="str" cm="1">
        <f t="array" ref="C22">IFERROR(
  IF(D22="buc",
    IF(B22&lt;&gt;"",
      INDEX(Deco!$C$2:$C$99, MATCH(1, (Deco!$Y$2:$Y$99=B22)*(Deco!$W$2:$W$99="PAL"), 0)),
    ""),
    IF(AND(B22&lt;&gt;"", INDEX(Deco!$W$2:$W$99, MATCH(1, (Deco!$Y$2:$Y$99=B22)*(Deco!$W$2:$W$99="PAL"), 0))="PAL"),
      INDEX(Deco!$V$2:$V$99, MATCH(1, (Deco!$Y$2:$Y$99=B22)*(Deco!$W$2:$W$99="PAL"), 0)),
    "")
  ),
"")</f>
        <v/>
      </c>
      <c r="D22" s="101" t="str" cm="1">
        <f t="array" ref="D22">IF(I3="Debitare căntuire", IF(OR(RIGHT(B22,1)={"0","1","2","3","4","5","6","7","8","9"},RIGHT(B22,2)="SM",RIGHT(B22,2)="PM",RIGHT(B22,2)="PG",RIGHT(B22,2)="mm",RIGHT(B22,2)="mp",RIGHT(B22,2)="PA",RIGHT(B22,2)="3D"),"buc","mp"), "mp")</f>
        <v>mp</v>
      </c>
      <c r="E22" s="75"/>
      <c r="F22" s="150" t="str" cm="1">
        <f t="array" ref="F22">IFERROR(INDEX(Cant!$M$2:$M$99,_xlfn.AGGREGATE(15,6,(ROW(Cant!$M$2:$M$99)-ROW(Cant!$M$2)+1)/((Cant!$M$2:$M$99&lt;&gt;"")*(COUNTIF($F$10:F21,Cant!$M$2:$M$99)=0)),1)),"")</f>
        <v/>
      </c>
      <c r="G22" s="81" t="str">
        <f>IF(AND(F22&lt;&gt;"",COUNTIF($F$11:F21,F22)&gt;0),"",
  IFERROR(
    IF(AND(F22&lt;&gt;"",
      SUMIFS(Cant!$I$2:$I$99,Cant!$M$2:$M$99,F22,Cant!$J$2:$J$99,"22/0.4")
      +SUMIFS(Cant!$I$2:$I$99,Cant!$M$2:$M$99,F22,Cant!$J$2:$J$99,"22/0.5")&gt;0),
      SUMIFS(Cant!$I$2:$I$99,Cant!$M$2:$M$99,F22,Cant!$J$2:$J$99,"22/0.4")
      +SUMIFS(Cant!$I$2:$I$99,Cant!$M$2:$M$99,F22,Cant!$J$2:$J$99,"22/0.5"),
    ""),
  "")
)</f>
        <v/>
      </c>
      <c r="H22" s="85" t="str">
        <f t="shared" si="0"/>
        <v/>
      </c>
      <c r="I22" s="86" t="str">
        <f>IF(AND(F22&lt;&gt;"",COUNTIF($F$11:F21,F22)&gt;0),"",IFERROR(
   IF(AND(H22&lt;&gt;"",
      SUMIFS(Cant!$I$2:$I$99,Cant!$M$2:$M$99,H22,Cant!$J$2:$J$99,"22/1.0")
     +SUMIFS(Cant!$I$2:$I$99,Cant!$M$2:$M$99,H22,Cant!$J$2:$J$99,"23/1.0")&gt;0),
      SUMIFS(Cant!$I$2:$I$99,Cant!$M$2:$M$99,H22,Cant!$J$2:$J$99,"22/1.0")
     +SUMIFS(Cant!$I$2:$I$99,Cant!$M$2:$M$99,H22,Cant!$J$2:$J$99,"23/1.0"),
   ""),""))</f>
        <v/>
      </c>
      <c r="J22" s="90" t="str">
        <f t="shared" si="1"/>
        <v/>
      </c>
      <c r="K22" s="91" t="str">
        <f>IF(AND(F22&lt;&gt;"",COUNTIF($F$11:F21,F22)&gt;0),"",IFERROR(IF(AND(J22&lt;&gt;"",SUMIFS(Cant!$I$2:$I$99,Cant!$M$2:$M$99,J22,Cant!$J$2:$J$99,"23/0.8")&gt;0),SUMIFS(Cant!$I$2:$I$99,Cant!$M$2:$M$99,J22,Cant!$J$2:$J$99,"23/0.8"),""),""))</f>
        <v/>
      </c>
      <c r="L22" s="95" t="str">
        <f t="shared" si="2"/>
        <v/>
      </c>
      <c r="M22" s="96" t="str">
        <f>IF(AND(F22&lt;&gt;"",COUNTIF($F$11:F21,F22)&gt;0),"",IFERROR(IF(AND(L22&lt;&gt;"",SUMIFS(Cant!$I$2:$I$99,Cant!$M$2:$M$99,L22,Cant!$J$2:$J$99,"23/2.0")&gt;0),SUMIFS(Cant!$I$2:$I$99,Cant!$M$2:$M$99,L22,Cant!$J$2:$J$99,"23/2.0"),""),""))</f>
        <v/>
      </c>
      <c r="N22" s="67" t="str">
        <f t="shared" si="3"/>
        <v/>
      </c>
      <c r="O22" s="30" t="str">
        <f>IF(AND(F22&lt;&gt;"",COUNTIF($F$11:F21,F22)&gt;0),"",IFERROR(IF(AND(N22&lt;&gt;"",SUMIFS(Cant!$I$2:$I$99,Cant!$M$2:$M$99,N22,Cant!$J$2:$J$99,"43/1.0")+SUMIFS(Cant!$I$2:$I$99,Cant!$M$2:$M$99,N22,Cant!$J$2:$J$99,"43/0.8")+SUMIFS(Cant!$I$2:$I$99,Cant!$M$2:$M$99,N22,Cant!$J$2:$J$99,"42/1.0")&gt;0),SUMIFS(Cant!$I$2:$I$99,Cant!$M$2:$M$99,N22,Cant!$J$2:$J$99,"43/1.0")+SUMIFS(Cant!$I$2:$I$99,Cant!$M$2:$M$99,N22,Cant!$J$2:$J$99,"43/0.8")+SUMIFS(Cant!$I$2:$I$99,Cant!$M$2:$M$99,N22,Cant!$J$2:$J$99,"42/1.0"),""),""))</f>
        <v/>
      </c>
      <c r="P22" s="67" t="str">
        <f t="shared" si="4"/>
        <v/>
      </c>
      <c r="Q22" s="30" t="str">
        <f>IF(AND(F22&lt;&gt;"",COUNTIF($F$11:F21,F22)&gt;0),"",IFERROR(IF(AND(P22&lt;&gt;"",SUMIFS(Cant!$I$2:$I$99,Cant!$M$2:$M$99,P22,Cant!$J$2:$J$99,"43/1.5")+SUMIFS(Cant!$I$2:$I$99,Cant!$M$2:$M$99,P22,Cant!$J$2:$J$99,"24/1.5")&gt;0),SUMIFS(Cant!$I$2:$I$99,Cant!$M$2:$M$99,P22,Cant!$J$2:$J$99,"43/1.5")+SUMIFS(Cant!$I$2:$I$99,Cant!$M$2:$M$99,P22,Cant!$J$2:$J$99,"24/1.5"),""),""))</f>
        <v/>
      </c>
      <c r="R22" s="67" t="str">
        <f t="shared" si="5"/>
        <v/>
      </c>
      <c r="S22" s="30" t="str">
        <f>IF(AND(F22&lt;&gt;"",COUNTIF($F$11:F21,F22)&gt;0),"",IFERROR(IF(AND(R22&lt;&gt;"",SUMIFS(Cant!$I$2:$I$99,Cant!$M$2:$M$99,R22,Cant!$J$2:$J$99,"43/2.0")&gt;0),SUMIFS(Cant!$I$2:$I$99,Cant!$M$2:$M$99,R22,Cant!$J$2:$J$99,"43/2.0"),""),""))</f>
        <v/>
      </c>
    </row>
    <row r="23" spans="1:19" s="50" customFormat="1" ht="11.25" hidden="1" customHeight="1" thickBot="1">
      <c r="A23" s="52"/>
      <c r="B23" s="47"/>
      <c r="C23" s="47"/>
      <c r="D23" s="37" t="str" cm="1">
        <f t="array" ref="D23">IF(I14="Mobilier în Roomdesigner", IF(OR(RIGHT(B23,1)={"0","1","2","3","4","5","6","7","8","9"},RIGHT(B23,2)="SM",RIGHT(B23,2)="PM",RIGHT(B23,2)="PG",RIGHT(B23,2)="mm"),"buc","mp"), "mp")</f>
        <v>mp</v>
      </c>
      <c r="E23" s="48"/>
      <c r="F23" s="150"/>
      <c r="G23" s="81"/>
      <c r="H23" s="85" t="str">
        <f t="shared" si="0"/>
        <v/>
      </c>
      <c r="I23" s="153"/>
      <c r="J23" s="90" t="str">
        <f t="shared" si="1"/>
        <v/>
      </c>
      <c r="K23" s="91"/>
      <c r="L23" s="95" t="str">
        <f t="shared" si="2"/>
        <v/>
      </c>
      <c r="M23" s="96"/>
      <c r="N23" s="67" t="str">
        <f t="shared" si="3"/>
        <v/>
      </c>
      <c r="O23" s="157"/>
      <c r="P23" s="67" t="str">
        <f t="shared" si="4"/>
        <v/>
      </c>
      <c r="Q23" s="157"/>
      <c r="R23" s="67" t="str">
        <f t="shared" si="5"/>
        <v/>
      </c>
      <c r="S23" s="30" t="str">
        <f>IF(AND(F23&lt;&gt;"",COUNTIF($F$11:F22,F23)&gt;0),"",IFERROR(IF(AND(R23&lt;&gt;"",SUMIFS(Cant!$I$2:$I$99,Cant!$M$2:$M$99,R23,Cant!$J$2:$J$99,"43/2.0")&gt;0),SUMIFS(Cant!$I$2:$I$99,Cant!$M$2:$M$99,R23,Cant!$J$2:$J$99,"43/2.0"),""),""))</f>
        <v/>
      </c>
    </row>
    <row r="24" spans="1:19">
      <c r="A24" s="175" t="s">
        <v>10</v>
      </c>
      <c r="B24" s="56" t="str" cm="1">
        <f t="array" ref="B24">IFERROR(_xlfn.SINGLE(INDEX(Deco!$Y$2:$Y$99,_xlfn.AGGREGATE(15,6,ROW(Deco!$Y$2:$Y$99)-ROW(Deco!$Y$2)+1/(Deco!$W$2:$W$99="MDF"),1))),"")</f>
        <v/>
      </c>
      <c r="C24" s="58" t="str" cm="1">
        <f t="array" ref="C24">IFERROR(
  IF(D24="buc",
    IF(B24&lt;&gt;"",
      INDEX(Deco!$C$2:$C$99, MATCH(1, (Deco!$Y$2:$Y$99=B24)*(Deco!$W$2:$W$99="MDF"), 0)),
    ""),
    IF(AND(B24&lt;&gt;"", INDEX(Deco!$W$2:$W$99, MATCH(1, (Deco!$Y$2:$Y$99=B24)*(Deco!$W$2:$W$99="MDF"), 0))="MDF"),
      INDEX(Deco!$V$2:$V$99, MATCH(1, (Deco!$Y$2:$Y$99=B24)*(Deco!$W$2:$W$99="MDF"), 0)),
    "")
  ),
"")</f>
        <v/>
      </c>
      <c r="D24" s="37" t="str" cm="1">
        <f t="array" ref="D24">IF(I3="Debitare căntuire", IF(OR(RIGHT(B24,1)={"0","1","2","3","4","5","6","7","8","9"},RIGHT(B24,2)="SM",RIGHT(B24,2)="PM",RIGHT(B24,2)="PG",RIGHT(B24,2)="mm",RIGHT(B24,2)="mp",RIGHT(B24,2)="PA",RIGHT(B24,2)="3D"),"buc","mp"), "mp")</f>
        <v>mp</v>
      </c>
      <c r="E24" s="75"/>
      <c r="F24" s="150" t="str" cm="1">
        <f t="array" ref="F24">IFERROR(INDEX(Cant!$M$2:$M$99,_xlfn.AGGREGATE(15,6,(ROW(Cant!$M$2:$M$99)-ROW(Cant!$M$2)+1)/((Cant!$M$2:$M$99&lt;&gt;"")*(COUNTIF($F$10:F23,Cant!$M$2:$M$99)=0)),1)),"")</f>
        <v/>
      </c>
      <c r="G24" s="81" t="str">
        <f>IF(AND(F24&lt;&gt;"",COUNTIF($F$11:F23,F24)&gt;0),"",
  IFERROR(
    IF(AND(F24&lt;&gt;"",
      SUMIFS(Cant!$I$2:$I$99,Cant!$M$2:$M$99,F24,Cant!$J$2:$J$99,"22/0.4")
      +SUMIFS(Cant!$I$2:$I$99,Cant!$M$2:$M$99,F24,Cant!$J$2:$J$99,"22/0.5")&gt;0),
      SUMIFS(Cant!$I$2:$I$99,Cant!$M$2:$M$99,F24,Cant!$J$2:$J$99,"22/0.4")
      +SUMIFS(Cant!$I$2:$I$99,Cant!$M$2:$M$99,F24,Cant!$J$2:$J$99,"22/0.5"),
    ""),
  "")
)</f>
        <v/>
      </c>
      <c r="H24" s="85" t="str">
        <f t="shared" si="0"/>
        <v/>
      </c>
      <c r="I24" s="86" t="str">
        <f>IF(AND(F24&lt;&gt;"",COUNTIF($F$11:F23,F24)&gt;0),"",IFERROR(
   IF(AND(H24&lt;&gt;"",
      SUMIFS(Cant!$I$2:$I$99,Cant!$M$2:$M$99,H24,Cant!$J$2:$J$99,"22/1.0")
     +SUMIFS(Cant!$I$2:$I$99,Cant!$M$2:$M$99,H24,Cant!$J$2:$J$99,"23/1.0")&gt;0),
      SUMIFS(Cant!$I$2:$I$99,Cant!$M$2:$M$99,H24,Cant!$J$2:$J$99,"22/1.0")
     +SUMIFS(Cant!$I$2:$I$99,Cant!$M$2:$M$99,H24,Cant!$J$2:$J$99,"23/1.0"),
   ""),""))</f>
        <v/>
      </c>
      <c r="J24" s="90" t="str">
        <f t="shared" si="1"/>
        <v/>
      </c>
      <c r="K24" s="91" t="str">
        <f>IF(AND(F24&lt;&gt;"",COUNTIF($F$11:F23,F24)&gt;0),"",IFERROR(IF(AND(J24&lt;&gt;"",SUMIFS(Cant!$I$2:$I$99,Cant!$M$2:$M$99,J24,Cant!$J$2:$J$99,"23/0.8")&gt;0),SUMIFS(Cant!$I$2:$I$99,Cant!$M$2:$M$99,J24,Cant!$J$2:$J$99,"23/0.8"),""),""))</f>
        <v/>
      </c>
      <c r="L24" s="95" t="str">
        <f t="shared" si="2"/>
        <v/>
      </c>
      <c r="M24" s="96" t="str">
        <f>IF(AND(F24&lt;&gt;"",COUNTIF($F$11:F23,F24)&gt;0),"",IFERROR(IF(AND(L24&lt;&gt;"",SUMIFS(Cant!$I$2:$I$99,Cant!$M$2:$M$99,L24,Cant!$J$2:$J$99,"23/2.0")&gt;0),SUMIFS(Cant!$I$2:$I$99,Cant!$M$2:$M$99,L24,Cant!$J$2:$J$99,"23/2.0"),""),""))</f>
        <v/>
      </c>
      <c r="N24" s="67" t="str">
        <f t="shared" si="3"/>
        <v/>
      </c>
      <c r="O24" s="30" t="str">
        <f>IF(AND(F24&lt;&gt;"",COUNTIF($F$11:F23,F24)&gt;0),"",IFERROR(IF(AND(N24&lt;&gt;"",SUMIFS(Cant!$I$2:$I$99,Cant!$M$2:$M$99,N24,Cant!$J$2:$J$99,"43/1.0")+SUMIFS(Cant!$I$2:$I$99,Cant!$M$2:$M$99,N24,Cant!$J$2:$J$99,"43/0.8")+SUMIFS(Cant!$I$2:$I$99,Cant!$M$2:$M$99,N24,Cant!$J$2:$J$99,"42/1.0")&gt;0),SUMIFS(Cant!$I$2:$I$99,Cant!$M$2:$M$99,N24,Cant!$J$2:$J$99,"43/1.0")+SUMIFS(Cant!$I$2:$I$99,Cant!$M$2:$M$99,N24,Cant!$J$2:$J$99,"43/0.8")+SUMIFS(Cant!$I$2:$I$99,Cant!$M$2:$M$99,N24,Cant!$J$2:$J$99,"42/1.0"),""),""))</f>
        <v/>
      </c>
      <c r="P24" s="67" t="str">
        <f t="shared" si="4"/>
        <v/>
      </c>
      <c r="Q24" s="30" t="str">
        <f>IF(AND(F24&lt;&gt;"",COUNTIF($F$11:F23,F24)&gt;0),"",IFERROR(IF(AND(P24&lt;&gt;"",SUMIFS(Cant!$I$2:$I$99,Cant!$M$2:$M$99,P24,Cant!$J$2:$J$99,"43/1.5")+SUMIFS(Cant!$I$2:$I$99,Cant!$M$2:$M$99,P24,Cant!$J$2:$J$99,"24/1.5")&gt;0),SUMIFS(Cant!$I$2:$I$99,Cant!$M$2:$M$99,P24,Cant!$J$2:$J$99,"43/1.5")+SUMIFS(Cant!$I$2:$I$99,Cant!$M$2:$M$99,P24,Cant!$J$2:$J$99,"24/1.5"),""),""))</f>
        <v/>
      </c>
      <c r="R24" s="67" t="str">
        <f t="shared" si="5"/>
        <v/>
      </c>
      <c r="S24" s="30" t="str">
        <f>IF(AND(F24&lt;&gt;"",COUNTIF($F$11:F23,F24)&gt;0),"",IFERROR(IF(AND(R24&lt;&gt;"",SUMIFS(Cant!$I$2:$I$99,Cant!$M$2:$M$99,R24,Cant!$J$2:$J$99,"43/2.0")&gt;0),SUMIFS(Cant!$I$2:$I$99,Cant!$M$2:$M$99,R24,Cant!$J$2:$J$99,"43/2.0"),""),""))</f>
        <v/>
      </c>
    </row>
    <row r="25" spans="1:19">
      <c r="A25" s="176"/>
      <c r="B25" s="67" t="str">
        <f>IFERROR(INDEX(Deco!$Y$2:$Y$99,_xlfn.AGGREGATE(15,6,ROW(Deco!$Y$2:$Y$99)-ROW(Deco!$Y$2)+1/(Deco!$W$2:$W$99="MDF"),2)),"")</f>
        <v/>
      </c>
      <c r="C25" s="109" t="str" cm="1">
        <f t="array" ref="C25">IFERROR(
  IF(D25="buc",
    IF(B25&lt;&gt;"",
      INDEX(Deco!$C$2:$C$99, MATCH(1, (Deco!$Y$2:$Y$99=B25)*(Deco!$W$2:$W$99="MDF"), 0)),
    ""),
    IF(AND(B25&lt;&gt;"", INDEX(Deco!$W$2:$W$99, MATCH(1, (Deco!$Y$2:$Y$99=B25)*(Deco!$W$2:$W$99="MDF"), 0))="MDF"),
      INDEX(Deco!$V$2:$V$99, MATCH(1, (Deco!$Y$2:$Y$99=B25)*(Deco!$W$2:$W$99="MDF"), 0)),
    "")
  ),
"")</f>
        <v/>
      </c>
      <c r="D25" s="37" t="str" cm="1">
        <f t="array" ref="D25">IF(I3="Debitare căntuire", IF(OR(RIGHT(B25,1)={"0","1","2","3","4","5","6","7","8","9"},RIGHT(B25,2)="SM",RIGHT(B25,2)="PM",RIGHT(B25,2)="PG",RIGHT(B25,2)="mm",RIGHT(B25,2)="mp",RIGHT(B25,2)="PA",RIGHT(B25,2)="3D"),"buc","mp"), "mp")</f>
        <v>mp</v>
      </c>
      <c r="E25" s="2"/>
      <c r="F25" s="150" t="str" cm="1">
        <f t="array" ref="F25">IFERROR(INDEX(Cant!$M$2:$M$99,_xlfn.AGGREGATE(15,6,(ROW(Cant!$M$2:$M$99)-ROW(Cant!$M$2)+1)/((Cant!$M$2:$M$99&lt;&gt;"")*(COUNTIF($F$10:F24,Cant!$M$2:$M$99)=0)),1)),"")</f>
        <v/>
      </c>
      <c r="G25" s="81" t="str">
        <f>IF(AND(F25&lt;&gt;"",COUNTIF($F$11:F24,F25)&gt;0),"",
  IFERROR(
    IF(AND(F25&lt;&gt;"",
      SUMIFS(Cant!$I$2:$I$99,Cant!$M$2:$M$99,F25,Cant!$J$2:$J$99,"22/0.4")
      +SUMIFS(Cant!$I$2:$I$99,Cant!$M$2:$M$99,F25,Cant!$J$2:$J$99,"22/0.5")&gt;0),
      SUMIFS(Cant!$I$2:$I$99,Cant!$M$2:$M$99,F25,Cant!$J$2:$J$99,"22/0.4")
      +SUMIFS(Cant!$I$2:$I$99,Cant!$M$2:$M$99,F25,Cant!$J$2:$J$99,"22/0.5"),
    ""),
  "")
)</f>
        <v/>
      </c>
      <c r="H25" s="85" t="str">
        <f t="shared" si="0"/>
        <v/>
      </c>
      <c r="I25" s="86" t="str">
        <f>IF(AND(F25&lt;&gt;"",COUNTIF($F$11:F24,F25)&gt;0),"",IFERROR(
   IF(AND(H25&lt;&gt;"",
      SUMIFS(Cant!$I$2:$I$99,Cant!$M$2:$M$99,H25,Cant!$J$2:$J$99,"22/1.0")
     +SUMIFS(Cant!$I$2:$I$99,Cant!$M$2:$M$99,H25,Cant!$J$2:$J$99,"23/1.0")&gt;0),
      SUMIFS(Cant!$I$2:$I$99,Cant!$M$2:$M$99,H25,Cant!$J$2:$J$99,"22/1.0")
     +SUMIFS(Cant!$I$2:$I$99,Cant!$M$2:$M$99,H25,Cant!$J$2:$J$99,"23/1.0"),
   ""),""))</f>
        <v/>
      </c>
      <c r="J25" s="90" t="str">
        <f t="shared" si="1"/>
        <v/>
      </c>
      <c r="K25" s="91" t="str">
        <f>IF(AND(F25&lt;&gt;"",COUNTIF($F$11:F24,F25)&gt;0),"",IFERROR(IF(AND(J25&lt;&gt;"",SUMIFS(Cant!$I$2:$I$99,Cant!$M$2:$M$99,J25,Cant!$J$2:$J$99,"23/0.8")&gt;0),SUMIFS(Cant!$I$2:$I$99,Cant!$M$2:$M$99,J25,Cant!$J$2:$J$99,"23/0.8"),""),""))</f>
        <v/>
      </c>
      <c r="L25" s="95" t="str">
        <f t="shared" si="2"/>
        <v/>
      </c>
      <c r="M25" s="96" t="str">
        <f>IF(AND(F25&lt;&gt;"",COUNTIF($F$11:F24,F25)&gt;0),"",IFERROR(IF(AND(L25&lt;&gt;"",SUMIFS(Cant!$I$2:$I$99,Cant!$M$2:$M$99,L25,Cant!$J$2:$J$99,"23/2.0")&gt;0),SUMIFS(Cant!$I$2:$I$99,Cant!$M$2:$M$99,L25,Cant!$J$2:$J$99,"23/2.0"),""),""))</f>
        <v/>
      </c>
      <c r="N25" s="67" t="str">
        <f t="shared" si="3"/>
        <v/>
      </c>
      <c r="O25" s="30" t="str">
        <f>IF(AND(F25&lt;&gt;"",COUNTIF($F$11:F24,F25)&gt;0),"",IFERROR(IF(AND(N25&lt;&gt;"",SUMIFS(Cant!$I$2:$I$99,Cant!$M$2:$M$99,N25,Cant!$J$2:$J$99,"43/1.0")+SUMIFS(Cant!$I$2:$I$99,Cant!$M$2:$M$99,N25,Cant!$J$2:$J$99,"43/0.8")+SUMIFS(Cant!$I$2:$I$99,Cant!$M$2:$M$99,N25,Cant!$J$2:$J$99,"42/1.0")&gt;0),SUMIFS(Cant!$I$2:$I$99,Cant!$M$2:$M$99,N25,Cant!$J$2:$J$99,"43/1.0")+SUMIFS(Cant!$I$2:$I$99,Cant!$M$2:$M$99,N25,Cant!$J$2:$J$99,"43/0.8")+SUMIFS(Cant!$I$2:$I$99,Cant!$M$2:$M$99,N25,Cant!$J$2:$J$99,"42/1.0"),""),""))</f>
        <v/>
      </c>
      <c r="P25" s="67" t="str">
        <f t="shared" si="4"/>
        <v/>
      </c>
      <c r="Q25" s="30" t="str">
        <f>IF(AND(F25&lt;&gt;"",COUNTIF($F$11:F24,F25)&gt;0),"",IFERROR(IF(AND(P25&lt;&gt;"",SUMIFS(Cant!$I$2:$I$99,Cant!$M$2:$M$99,P25,Cant!$J$2:$J$99,"43/1.5")+SUMIFS(Cant!$I$2:$I$99,Cant!$M$2:$M$99,P25,Cant!$J$2:$J$99,"24/1.5")&gt;0),SUMIFS(Cant!$I$2:$I$99,Cant!$M$2:$M$99,P25,Cant!$J$2:$J$99,"43/1.5")+SUMIFS(Cant!$I$2:$I$99,Cant!$M$2:$M$99,P25,Cant!$J$2:$J$99,"24/1.5"),""),""))</f>
        <v/>
      </c>
      <c r="R25" s="67" t="str">
        <f t="shared" si="5"/>
        <v/>
      </c>
      <c r="S25" s="30" t="str">
        <f>IF(AND(F25&lt;&gt;"",COUNTIF($F$11:F24,F25)&gt;0),"",IFERROR(IF(AND(R25&lt;&gt;"",SUMIFS(Cant!$I$2:$I$99,Cant!$M$2:$M$99,R25,Cant!$J$2:$J$99,"43/2.0")&gt;0),SUMIFS(Cant!$I$2:$I$99,Cant!$M$2:$M$99,R25,Cant!$J$2:$J$99,"43/2.0"),""),""))</f>
        <v/>
      </c>
    </row>
    <row r="26" spans="1:19">
      <c r="A26" s="176"/>
      <c r="B26" s="67" t="str" cm="1">
        <f t="array" ref="B26">IFERROR(_xlfn.SINGLE(INDEX(Deco!$Y$2:$Y$99,_xlfn.AGGREGATE(15,6,ROW(Deco!$Y$2:$Y$99)-ROW(Deco!$Y$2)+1/(Deco!$W$2:$W$99="MDF"),3))),"")</f>
        <v/>
      </c>
      <c r="C26" s="109" t="str" cm="1">
        <f t="array" ref="C26">IFERROR(
  IF(D26="buc",
    IF(B26&lt;&gt;"",
      INDEX(Deco!$C$2:$C$99, MATCH(1, (Deco!$Y$2:$Y$99=B26)*(Deco!$W$2:$W$99="MDF"), 0)),
    ""),
    IF(AND(B26&lt;&gt;"", INDEX(Deco!$W$2:$W$99, MATCH(1, (Deco!$Y$2:$Y$99=B26)*(Deco!$W$2:$W$99="MDF"), 0))="MDF"),
      INDEX(Deco!$V$2:$V$99, MATCH(1, (Deco!$Y$2:$Y$99=B26)*(Deco!$W$2:$W$99="MDF"), 0)),
    "")
  ),
"")</f>
        <v/>
      </c>
      <c r="D26" s="37" t="str" cm="1">
        <f t="array" ref="D26">IF(I3="Debitare căntuire", IF(OR(RIGHT(B26,1)={"0","1","2","3","4","5","6","7","8","9"},RIGHT(B26,2)="SM",RIGHT(B26,2)="PM",RIGHT(B26,2)="PG",RIGHT(B26,2)="mm",RIGHT(B26,2)="mp",RIGHT(B26,2)="PA",RIGHT(B26,2)="3D"),"buc","mp"), "mp")</f>
        <v>mp</v>
      </c>
      <c r="E26" s="2"/>
      <c r="F26" s="150" t="str" cm="1">
        <f t="array" ref="F26">IFERROR(INDEX(Cant!$M$2:$M$99,_xlfn.AGGREGATE(15,6,(ROW(Cant!$M$2:$M$99)-ROW(Cant!$M$2)+1)/((Cant!$M$2:$M$99&lt;&gt;"")*(COUNTIF($F$10:F25,Cant!$M$2:$M$99)=0)),1)),"")</f>
        <v/>
      </c>
      <c r="G26" s="81" t="str">
        <f>IF(AND(F26&lt;&gt;"",COUNTIF($F$11:F25,F26)&gt;0),"",
  IFERROR(
    IF(AND(F26&lt;&gt;"",
      SUMIFS(Cant!$I$2:$I$99,Cant!$M$2:$M$99,F26,Cant!$J$2:$J$99,"22/0.4")
      +SUMIFS(Cant!$I$2:$I$99,Cant!$M$2:$M$99,F26,Cant!$J$2:$J$99,"22/0.5")&gt;0),
      SUMIFS(Cant!$I$2:$I$99,Cant!$M$2:$M$99,F26,Cant!$J$2:$J$99,"22/0.4")
      +SUMIFS(Cant!$I$2:$I$99,Cant!$M$2:$M$99,F26,Cant!$J$2:$J$99,"22/0.5"),
    ""),
  "")
)</f>
        <v/>
      </c>
      <c r="H26" s="85" t="str">
        <f t="shared" si="0"/>
        <v/>
      </c>
      <c r="I26" s="86" t="str">
        <f>IF(AND(F26&lt;&gt;"",COUNTIF($F$11:F25,F26)&gt;0),"",IFERROR(
   IF(AND(H26&lt;&gt;"",
      SUMIFS(Cant!$I$2:$I$99,Cant!$M$2:$M$99,H26,Cant!$J$2:$J$99,"22/1.0")
     +SUMIFS(Cant!$I$2:$I$99,Cant!$M$2:$M$99,H26,Cant!$J$2:$J$99,"23/1.0")&gt;0),
      SUMIFS(Cant!$I$2:$I$99,Cant!$M$2:$M$99,H26,Cant!$J$2:$J$99,"22/1.0")
     +SUMIFS(Cant!$I$2:$I$99,Cant!$M$2:$M$99,H26,Cant!$J$2:$J$99,"23/1.0"),
   ""),""))</f>
        <v/>
      </c>
      <c r="J26" s="90" t="str">
        <f t="shared" si="1"/>
        <v/>
      </c>
      <c r="K26" s="91" t="str">
        <f>IF(AND(F26&lt;&gt;"",COUNTIF($F$11:F25,F26)&gt;0),"",IFERROR(IF(AND(J26&lt;&gt;"",SUMIFS(Cant!$I$2:$I$99,Cant!$M$2:$M$99,J26,Cant!$J$2:$J$99,"23/0.8")&gt;0),SUMIFS(Cant!$I$2:$I$99,Cant!$M$2:$M$99,J26,Cant!$J$2:$J$99,"23/0.8"),""),""))</f>
        <v/>
      </c>
      <c r="L26" s="95" t="str">
        <f t="shared" si="2"/>
        <v/>
      </c>
      <c r="M26" s="96" t="str">
        <f>IF(AND(F26&lt;&gt;"",COUNTIF($F$11:F25,F26)&gt;0),"",IFERROR(IF(AND(L26&lt;&gt;"",SUMIFS(Cant!$I$2:$I$99,Cant!$M$2:$M$99,L26,Cant!$J$2:$J$99,"23/2.0")&gt;0),SUMIFS(Cant!$I$2:$I$99,Cant!$M$2:$M$99,L26,Cant!$J$2:$J$99,"23/2.0"),""),""))</f>
        <v/>
      </c>
      <c r="N26" s="67" t="str">
        <f t="shared" si="3"/>
        <v/>
      </c>
      <c r="O26" s="30" t="str">
        <f>IF(AND(F26&lt;&gt;"",COUNTIF($F$11:F25,F26)&gt;0),"",IFERROR(IF(AND(N26&lt;&gt;"",SUMIFS(Cant!$I$2:$I$99,Cant!$M$2:$M$99,N26,Cant!$J$2:$J$99,"43/1.0")+SUMIFS(Cant!$I$2:$I$99,Cant!$M$2:$M$99,N26,Cant!$J$2:$J$99,"43/0.8")+SUMIFS(Cant!$I$2:$I$99,Cant!$M$2:$M$99,N26,Cant!$J$2:$J$99,"42/1.0")&gt;0),SUMIFS(Cant!$I$2:$I$99,Cant!$M$2:$M$99,N26,Cant!$J$2:$J$99,"43/1.0")+SUMIFS(Cant!$I$2:$I$99,Cant!$M$2:$M$99,N26,Cant!$J$2:$J$99,"43/0.8")+SUMIFS(Cant!$I$2:$I$99,Cant!$M$2:$M$99,N26,Cant!$J$2:$J$99,"42/1.0"),""),""))</f>
        <v/>
      </c>
      <c r="P26" s="67" t="str">
        <f t="shared" si="4"/>
        <v/>
      </c>
      <c r="Q26" s="30" t="str">
        <f>IF(AND(F26&lt;&gt;"",COUNTIF($F$11:F25,F26)&gt;0),"",IFERROR(IF(AND(P26&lt;&gt;"",SUMIFS(Cant!$I$2:$I$99,Cant!$M$2:$M$99,P26,Cant!$J$2:$J$99,"43/1.5")+SUMIFS(Cant!$I$2:$I$99,Cant!$M$2:$M$99,P26,Cant!$J$2:$J$99,"24/1.5")&gt;0),SUMIFS(Cant!$I$2:$I$99,Cant!$M$2:$M$99,P26,Cant!$J$2:$J$99,"43/1.5")+SUMIFS(Cant!$I$2:$I$99,Cant!$M$2:$M$99,P26,Cant!$J$2:$J$99,"24/1.5"),""),""))</f>
        <v/>
      </c>
      <c r="R26" s="67" t="str">
        <f t="shared" si="5"/>
        <v/>
      </c>
      <c r="S26" s="30" t="str">
        <f>IF(AND(F26&lt;&gt;"",COUNTIF($F$11:F25,F26)&gt;0),"",IFERROR(IF(AND(R26&lt;&gt;"",SUMIFS(Cant!$I$2:$I$99,Cant!$M$2:$M$99,R26,Cant!$J$2:$J$99,"43/2.0")&gt;0),SUMIFS(Cant!$I$2:$I$99,Cant!$M$2:$M$99,R26,Cant!$J$2:$J$99,"43/2.0"),""),""))</f>
        <v/>
      </c>
    </row>
    <row r="27" spans="1:19">
      <c r="A27" s="176"/>
      <c r="B27" s="67" t="str" cm="1">
        <f t="array" ref="B27">IFERROR(_xlfn.SINGLE(INDEX(Deco!$Y$2:$Y$99,_xlfn.AGGREGATE(15,6,ROW(Deco!$Y$2:$Y$99)-ROW(Deco!$Y$2)+1/(Deco!$W$2:$W$99="MDF"),4))),"")</f>
        <v/>
      </c>
      <c r="C27" s="109" t="str" cm="1">
        <f t="array" ref="C27">IFERROR(
  IF(D27="buc",
    IF(B27&lt;&gt;"",
      INDEX(Deco!$C$2:$C$99, MATCH(1, (Deco!$Y$2:$Y$99=B27)*(Deco!$W$2:$W$99="MDF"), 0)),
    ""),
    IF(AND(B27&lt;&gt;"", INDEX(Deco!$W$2:$W$99, MATCH(1, (Deco!$Y$2:$Y$99=B27)*(Deco!$W$2:$W$99="MDF"), 0))="MDF"),
      INDEX(Deco!$V$2:$V$99, MATCH(1, (Deco!$Y$2:$Y$99=B27)*(Deco!$W$2:$W$99="MDF"), 0)),
    "")
  ),
"")</f>
        <v/>
      </c>
      <c r="D27" s="37" t="str" cm="1">
        <f t="array" ref="D27">IF(I3="Debitare căntuire", IF(OR(RIGHT(B27,1)={"0","1","2","3","4","5","6","7","8","9"},RIGHT(B27,2)="SM",RIGHT(B27,2)="PM",RIGHT(B27,2)="PG",RIGHT(B27,2)="mm",RIGHT(B27,2)="mp",RIGHT(B27,2)="PA",RIGHT(B27,2)="3D"),"buc","mp"), "mp")</f>
        <v>mp</v>
      </c>
      <c r="E27" s="2"/>
      <c r="F27" s="150" t="str" cm="1">
        <f t="array" ref="F27">IFERROR(INDEX(Cant!$M$2:$M$99,_xlfn.AGGREGATE(15,6,(ROW(Cant!$M$2:$M$99)-ROW(Cant!$M$2)+1)/((Cant!$M$2:$M$99&lt;&gt;"")*(COUNTIF($F$10:F26,Cant!$M$2:$M$99)=0)),1)),"")</f>
        <v/>
      </c>
      <c r="G27" s="81" t="str">
        <f>IF(AND(F27&lt;&gt;"",COUNTIF($F$11:F26,F27)&gt;0),"",
  IFERROR(
    IF(AND(F27&lt;&gt;"",
      SUMIFS(Cant!$I$2:$I$99,Cant!$M$2:$M$99,F27,Cant!$J$2:$J$99,"22/0.4")
      +SUMIFS(Cant!$I$2:$I$99,Cant!$M$2:$M$99,F27,Cant!$J$2:$J$99,"22/0.5")&gt;0),
      SUMIFS(Cant!$I$2:$I$99,Cant!$M$2:$M$99,F27,Cant!$J$2:$J$99,"22/0.4")
      +SUMIFS(Cant!$I$2:$I$99,Cant!$M$2:$M$99,F27,Cant!$J$2:$J$99,"22/0.5"),
    ""),
  "")
)</f>
        <v/>
      </c>
      <c r="H27" s="85" t="str">
        <f t="shared" si="0"/>
        <v/>
      </c>
      <c r="I27" s="86" t="str">
        <f>IF(AND(F27&lt;&gt;"",COUNTIF($F$11:F26,F27)&gt;0),"",IFERROR(
   IF(AND(H27&lt;&gt;"",
      SUMIFS(Cant!$I$2:$I$99,Cant!$M$2:$M$99,H27,Cant!$J$2:$J$99,"22/1.0")
     +SUMIFS(Cant!$I$2:$I$99,Cant!$M$2:$M$99,H27,Cant!$J$2:$J$99,"23/1.0")&gt;0),
      SUMIFS(Cant!$I$2:$I$99,Cant!$M$2:$M$99,H27,Cant!$J$2:$J$99,"22/1.0")
     +SUMIFS(Cant!$I$2:$I$99,Cant!$M$2:$M$99,H27,Cant!$J$2:$J$99,"23/1.0"),
   ""),""))</f>
        <v/>
      </c>
      <c r="J27" s="90" t="str">
        <f t="shared" si="1"/>
        <v/>
      </c>
      <c r="K27" s="91" t="str">
        <f>IF(AND(F27&lt;&gt;"",COUNTIF($F$11:F26,F27)&gt;0),"",IFERROR(IF(AND(J27&lt;&gt;"",SUMIFS(Cant!$I$2:$I$99,Cant!$M$2:$M$99,J27,Cant!$J$2:$J$99,"23/0.8")&gt;0),SUMIFS(Cant!$I$2:$I$99,Cant!$M$2:$M$99,J27,Cant!$J$2:$J$99,"23/0.8"),""),""))</f>
        <v/>
      </c>
      <c r="L27" s="95" t="str">
        <f t="shared" si="2"/>
        <v/>
      </c>
      <c r="M27" s="96" t="str">
        <f>IF(AND(F27&lt;&gt;"",COUNTIF($F$11:F26,F27)&gt;0),"",IFERROR(IF(AND(L27&lt;&gt;"",SUMIFS(Cant!$I$2:$I$99,Cant!$M$2:$M$99,L27,Cant!$J$2:$J$99,"23/2.0")&gt;0),SUMIFS(Cant!$I$2:$I$99,Cant!$M$2:$M$99,L27,Cant!$J$2:$J$99,"23/2.0"),""),""))</f>
        <v/>
      </c>
      <c r="N27" s="67" t="str">
        <f t="shared" si="3"/>
        <v/>
      </c>
      <c r="O27" s="30" t="str">
        <f>IF(AND(F27&lt;&gt;"",COUNTIF($F$11:F26,F27)&gt;0),"",IFERROR(IF(AND(N27&lt;&gt;"",SUMIFS(Cant!$I$2:$I$99,Cant!$M$2:$M$99,N27,Cant!$J$2:$J$99,"43/1.0")+SUMIFS(Cant!$I$2:$I$99,Cant!$M$2:$M$99,N27,Cant!$J$2:$J$99,"43/0.8")+SUMIFS(Cant!$I$2:$I$99,Cant!$M$2:$M$99,N27,Cant!$J$2:$J$99,"42/1.0")&gt;0),SUMIFS(Cant!$I$2:$I$99,Cant!$M$2:$M$99,N27,Cant!$J$2:$J$99,"43/1.0")+SUMIFS(Cant!$I$2:$I$99,Cant!$M$2:$M$99,N27,Cant!$J$2:$J$99,"43/0.8")+SUMIFS(Cant!$I$2:$I$99,Cant!$M$2:$M$99,N27,Cant!$J$2:$J$99,"42/1.0"),""),""))</f>
        <v/>
      </c>
      <c r="P27" s="67" t="str">
        <f t="shared" si="4"/>
        <v/>
      </c>
      <c r="Q27" s="30" t="str">
        <f>IF(AND(F27&lt;&gt;"",COUNTIF($F$11:F26,F27)&gt;0),"",IFERROR(IF(AND(P27&lt;&gt;"",SUMIFS(Cant!$I$2:$I$99,Cant!$M$2:$M$99,P27,Cant!$J$2:$J$99,"43/1.5")+SUMIFS(Cant!$I$2:$I$99,Cant!$M$2:$M$99,P27,Cant!$J$2:$J$99,"24/1.5")&gt;0),SUMIFS(Cant!$I$2:$I$99,Cant!$M$2:$M$99,P27,Cant!$J$2:$J$99,"43/1.5")+SUMIFS(Cant!$I$2:$I$99,Cant!$M$2:$M$99,P27,Cant!$J$2:$J$99,"24/1.5"),""),""))</f>
        <v/>
      </c>
      <c r="R27" s="67" t="str">
        <f t="shared" si="5"/>
        <v/>
      </c>
      <c r="S27" s="30" t="str">
        <f>IF(AND(F27&lt;&gt;"",COUNTIF($F$11:F26,F27)&gt;0),"",IFERROR(IF(AND(R27&lt;&gt;"",SUMIFS(Cant!$I$2:$I$99,Cant!$M$2:$M$99,R27,Cant!$J$2:$J$99,"43/2.0")&gt;0),SUMIFS(Cant!$I$2:$I$99,Cant!$M$2:$M$99,R27,Cant!$J$2:$J$99,"43/2.0"),""),""))</f>
        <v/>
      </c>
    </row>
    <row r="28" spans="1:19" ht="15.75" thickBot="1">
      <c r="A28" s="178"/>
      <c r="B28" s="67" t="str" cm="1">
        <f t="array" ref="B28">IFERROR(_xlfn.SINGLE(INDEX(Deco!$Y$2:$Y$99,_xlfn.AGGREGATE(15,6,ROW(Deco!$Y$2:$Y$99)-ROW(Deco!$Y$2)+1/(Deco!$W$2:$W$99="MDF"),5))),"")</f>
        <v/>
      </c>
      <c r="C28" s="110" t="str" cm="1">
        <f t="array" ref="C28">IFERROR(
  IF(D28="buc",
    IF(B28&lt;&gt;"",
      INDEX(Deco!$C$2:$C$99, MATCH(1, (Deco!$Y$2:$Y$99=B28)*(Deco!$W$2:$W$99="MDF"), 0)),
    ""),
    IF(AND(B28&lt;&gt;"", INDEX(Deco!$W$2:$W$99, MATCH(1, (Deco!$Y$2:$Y$99=B28)*(Deco!$W$2:$W$99="MDF"), 0))="MDF"),
      INDEX(Deco!$V$2:$V$99, MATCH(1, (Deco!$Y$2:$Y$99=B28)*(Deco!$W$2:$W$99="MDF"), 0)),
    "")
  ),
"")</f>
        <v/>
      </c>
      <c r="D28" s="37" t="str" cm="1">
        <f t="array" ref="D28">IF(I3="Debitare căntuire", IF(OR(RIGHT(B28,1)={"0","1","2","3","4","5","6","7","8","9"},RIGHT(B28,2)="SM",RIGHT(B28,2)="PM",RIGHT(B28,2)="PG",RIGHT(B28,2)="mm",RIGHT(B28,2)="mp",RIGHT(B28,2)="PA",RIGHT(B28,2)="3D"),"buc","mp"), "mp")</f>
        <v>mp</v>
      </c>
      <c r="E28" s="75"/>
      <c r="F28" s="150" t="str" cm="1">
        <f t="array" ref="F28">IFERROR(INDEX(Cant!$M$2:$M$99,_xlfn.AGGREGATE(15,6,(ROW(Cant!$M$2:$M$99)-ROW(Cant!$M$2)+1)/((Cant!$M$2:$M$99&lt;&gt;"")*(COUNTIF($F$10:F27,Cant!$M$2:$M$99)=0)),1)),"")</f>
        <v/>
      </c>
      <c r="G28" s="81" t="str">
        <f>IF(AND(F28&lt;&gt;"",COUNTIF($F$11:F27,F28)&gt;0),"",
  IFERROR(
    IF(AND(F28&lt;&gt;"",
      SUMIFS(Cant!$I$2:$I$99,Cant!$M$2:$M$99,F28,Cant!$J$2:$J$99,"22/0.4")
      +SUMIFS(Cant!$I$2:$I$99,Cant!$M$2:$M$99,F28,Cant!$J$2:$J$99,"22/0.5")&gt;0),
      SUMIFS(Cant!$I$2:$I$99,Cant!$M$2:$M$99,F28,Cant!$J$2:$J$99,"22/0.4")
      +SUMIFS(Cant!$I$2:$I$99,Cant!$M$2:$M$99,F28,Cant!$J$2:$J$99,"22/0.5"),
    ""),
  "")
)</f>
        <v/>
      </c>
      <c r="H28" s="85" t="str">
        <f t="shared" si="0"/>
        <v/>
      </c>
      <c r="I28" s="86" t="str">
        <f>IF(AND(F28&lt;&gt;"",COUNTIF($F$11:F27,F28)&gt;0),"",IFERROR(
   IF(AND(H28&lt;&gt;"",
      SUMIFS(Cant!$I$2:$I$99,Cant!$M$2:$M$99,H28,Cant!$J$2:$J$99,"22/1.0")
     +SUMIFS(Cant!$I$2:$I$99,Cant!$M$2:$M$99,H28,Cant!$J$2:$J$99,"23/1.0")&gt;0),
      SUMIFS(Cant!$I$2:$I$99,Cant!$M$2:$M$99,H28,Cant!$J$2:$J$99,"22/1.0")
     +SUMIFS(Cant!$I$2:$I$99,Cant!$M$2:$M$99,H28,Cant!$J$2:$J$99,"23/1.0"),
   ""),""))</f>
        <v/>
      </c>
      <c r="J28" s="90" t="str">
        <f t="shared" si="1"/>
        <v/>
      </c>
      <c r="K28" s="91" t="str">
        <f>IF(AND(F28&lt;&gt;"",COUNTIF($F$11:F27,F28)&gt;0),"",IFERROR(IF(AND(J28&lt;&gt;"",SUMIFS(Cant!$I$2:$I$99,Cant!$M$2:$M$99,J28,Cant!$J$2:$J$99,"23/0.8")&gt;0),SUMIFS(Cant!$I$2:$I$99,Cant!$M$2:$M$99,J28,Cant!$J$2:$J$99,"23/0.8"),""),""))</f>
        <v/>
      </c>
      <c r="L28" s="95" t="str">
        <f t="shared" si="2"/>
        <v/>
      </c>
      <c r="M28" s="96" t="str">
        <f>IF(AND(F28&lt;&gt;"",COUNTIF($F$11:F27,F28)&gt;0),"",IFERROR(IF(AND(L28&lt;&gt;"",SUMIFS(Cant!$I$2:$I$99,Cant!$M$2:$M$99,L28,Cant!$J$2:$J$99,"23/2.0")&gt;0),SUMIFS(Cant!$I$2:$I$99,Cant!$M$2:$M$99,L28,Cant!$J$2:$J$99,"23/2.0"),""),""))</f>
        <v/>
      </c>
      <c r="N28" s="67" t="str">
        <f t="shared" si="3"/>
        <v/>
      </c>
      <c r="O28" s="30" t="str">
        <f>IF(AND(F28&lt;&gt;"",COUNTIF($F$11:F27,F28)&gt;0),"",IFERROR(IF(AND(N28&lt;&gt;"",SUMIFS(Cant!$I$2:$I$99,Cant!$M$2:$M$99,N28,Cant!$J$2:$J$99,"43/1.0")+SUMIFS(Cant!$I$2:$I$99,Cant!$M$2:$M$99,N28,Cant!$J$2:$J$99,"43/0.8")+SUMIFS(Cant!$I$2:$I$99,Cant!$M$2:$M$99,N28,Cant!$J$2:$J$99,"42/1.0")&gt;0),SUMIFS(Cant!$I$2:$I$99,Cant!$M$2:$M$99,N28,Cant!$J$2:$J$99,"43/1.0")+SUMIFS(Cant!$I$2:$I$99,Cant!$M$2:$M$99,N28,Cant!$J$2:$J$99,"43/0.8")+SUMIFS(Cant!$I$2:$I$99,Cant!$M$2:$M$99,N28,Cant!$J$2:$J$99,"42/1.0"),""),""))</f>
        <v/>
      </c>
      <c r="P28" s="67" t="str">
        <f t="shared" si="4"/>
        <v/>
      </c>
      <c r="Q28" s="30" t="str">
        <f>IF(AND(F28&lt;&gt;"",COUNTIF($F$11:F27,F28)&gt;0),"",IFERROR(IF(AND(P28&lt;&gt;"",SUMIFS(Cant!$I$2:$I$99,Cant!$M$2:$M$99,P28,Cant!$J$2:$J$99,"43/1.5")+SUMIFS(Cant!$I$2:$I$99,Cant!$M$2:$M$99,P28,Cant!$J$2:$J$99,"24/1.5")&gt;0),SUMIFS(Cant!$I$2:$I$99,Cant!$M$2:$M$99,P28,Cant!$J$2:$J$99,"43/1.5")+SUMIFS(Cant!$I$2:$I$99,Cant!$M$2:$M$99,P28,Cant!$J$2:$J$99,"24/1.5"),""),""))</f>
        <v/>
      </c>
      <c r="R28" s="67" t="str">
        <f t="shared" si="5"/>
        <v/>
      </c>
      <c r="S28" s="30" t="str">
        <f>IF(AND(F28&lt;&gt;"",COUNTIF($F$11:F27,F28)&gt;0),"",IFERROR(IF(AND(R28&lt;&gt;"",SUMIFS(Cant!$I$2:$I$99,Cant!$M$2:$M$99,R28,Cant!$J$2:$J$99,"43/2.0")&gt;0),SUMIFS(Cant!$I$2:$I$99,Cant!$M$2:$M$99,R28,Cant!$J$2:$J$99,"43/2.0"),""),""))</f>
        <v/>
      </c>
    </row>
    <row r="29" spans="1:19" s="50" customFormat="1" ht="15.75" hidden="1" customHeight="1" thickBot="1">
      <c r="A29" s="53"/>
      <c r="B29" s="76"/>
      <c r="C29" s="76"/>
      <c r="D29" s="37" t="str" cm="1">
        <f t="array" ref="D29">IF(I20="Mobilier în Roomdesigner", IF(OR(RIGHT(B29,1)={"0","1","2","3","4","5","6","7","8","9"},RIGHT(B29,2)="SM",RIGHT(B29,2)="PM",RIGHT(B29,2)="PG",RIGHT(B29,2)="mm"),"buc","mp"), "mp")</f>
        <v>mp</v>
      </c>
      <c r="E29" s="48"/>
      <c r="F29" s="151"/>
      <c r="G29" s="152"/>
      <c r="H29" s="85" t="str">
        <f t="shared" si="0"/>
        <v/>
      </c>
      <c r="I29" s="154"/>
      <c r="J29" s="90" t="str">
        <f t="shared" si="1"/>
        <v/>
      </c>
      <c r="K29" s="155"/>
      <c r="L29" s="95" t="str">
        <f t="shared" si="2"/>
        <v/>
      </c>
      <c r="M29" s="156"/>
      <c r="N29" s="67" t="str">
        <f t="shared" si="3"/>
        <v/>
      </c>
      <c r="O29" s="158"/>
      <c r="P29" s="67" t="str">
        <f t="shared" si="4"/>
        <v/>
      </c>
      <c r="Q29" s="158"/>
      <c r="R29" s="67" t="str">
        <f t="shared" si="5"/>
        <v/>
      </c>
      <c r="S29" s="159"/>
    </row>
    <row r="30" spans="1:19" ht="15.75" thickBot="1">
      <c r="A30" s="59" t="s">
        <v>66</v>
      </c>
      <c r="B30" s="56" t="str" cm="1">
        <f t="array" ref="B30">IFERROR(_xlfn.SINGLE(INDEX(Deco!$Y$2:$Y$99,_xlfn.AGGREGATE(15,6,ROW(Deco!$Y$2:$Y$99)-ROW(Deco!$Y$2)+1/(Deco!$W$2:$W$99="HDF"),1))),"")</f>
        <v/>
      </c>
      <c r="C30" s="58" t="str">
        <f>IF(D30="buc",IF(B30&lt;&gt;"",INDEX(Deco!$C$2:$C$99,MATCH(B30,Deco!$Y$2:$Y$99,0)),""),IF(B30&lt;&gt;"",INDEX(Deco!$V$2:$V$99,MATCH(B30,Deco!$Y$2:$Y$99,0)),""))</f>
        <v/>
      </c>
      <c r="D30" s="29" t="str">
        <f>IF(I3="Debitare căntuire", "buc", "mp")</f>
        <v>mp</v>
      </c>
      <c r="E30" s="48"/>
      <c r="F30" s="151"/>
      <c r="G30" s="81"/>
      <c r="H30" s="85" t="str">
        <f t="shared" si="0"/>
        <v/>
      </c>
      <c r="I30" s="86"/>
      <c r="J30" s="90" t="str">
        <f t="shared" si="1"/>
        <v/>
      </c>
      <c r="K30" s="91"/>
      <c r="L30" s="95" t="str">
        <f t="shared" si="2"/>
        <v/>
      </c>
      <c r="M30" s="96"/>
      <c r="N30" s="67" t="str">
        <f t="shared" si="3"/>
        <v/>
      </c>
      <c r="O30" s="157"/>
      <c r="P30" s="67" t="str">
        <f t="shared" si="4"/>
        <v/>
      </c>
      <c r="Q30" s="157"/>
      <c r="R30" s="67" t="str">
        <f t="shared" si="5"/>
        <v/>
      </c>
      <c r="S30" s="159"/>
    </row>
    <row r="31" spans="1:19" ht="2.1" hidden="1" customHeight="1" thickBot="1">
      <c r="A31" s="54"/>
      <c r="B31" s="62"/>
      <c r="C31" s="48"/>
      <c r="D31" s="63"/>
      <c r="E31" s="48"/>
      <c r="F31" s="150"/>
      <c r="G31" s="81"/>
      <c r="H31" s="85" t="str">
        <f t="shared" si="0"/>
        <v/>
      </c>
      <c r="I31" s="86"/>
      <c r="J31" s="90" t="str">
        <f t="shared" si="1"/>
        <v/>
      </c>
      <c r="K31" s="91"/>
      <c r="L31" s="95" t="str">
        <f t="shared" si="2"/>
        <v/>
      </c>
      <c r="M31" s="96"/>
      <c r="N31" s="67" t="str">
        <f t="shared" si="3"/>
        <v/>
      </c>
      <c r="O31" s="157"/>
      <c r="P31" s="67" t="str">
        <f t="shared" si="4"/>
        <v/>
      </c>
      <c r="Q31" s="157"/>
      <c r="R31" s="67" t="str">
        <f t="shared" si="5"/>
        <v/>
      </c>
      <c r="S31" s="160"/>
    </row>
    <row r="32" spans="1:19" ht="15.75" customHeight="1">
      <c r="A32" s="165" t="s">
        <v>78</v>
      </c>
      <c r="B32" s="56" t="str" cm="1">
        <f t="array" ref="B32">IFERROR(_xlfn.SINGLE(INDEX(Deco!$Y$2:$Y$99,_xlfn.AGGREGATE(15,6,ROW(Deco!$Y$2:$Y$99)-ROW(Deco!$Y$2)+1/((Deco!$W$2:$W$99="Blat")+(Deco!$W$2:$W$99="LC")),1))),"")</f>
        <v/>
      </c>
      <c r="C32" s="58" t="str">
        <f>IF(D32="buc",IF(B32&lt;&gt;"",INDEX(Deco!$C$2:$C$99,MATCH(B32,Deco!$Y$2:$Y$99,0)),""),IF(B32&lt;&gt;"",INDEX(Deco!$V$2:$V$99,MATCH(B32,Deco!$Y$2:$Y$99,0)),""))</f>
        <v/>
      </c>
      <c r="D32" s="29" t="s">
        <v>54</v>
      </c>
      <c r="E32" s="2"/>
      <c r="F32" s="150" t="str" cm="1">
        <f t="array" ref="F32">IFERROR(INDEX(Cant!$M$2:$M$99,_xlfn.AGGREGATE(15,6,(ROW(Cant!$M$2:$M$99)-ROW(Cant!$M$2)+1)/((Cant!$M$2:$M$99&lt;&gt;"")*(COUNTIF($F$10:F31,Cant!$M$2:$M$99)=0)),1)),"")</f>
        <v/>
      </c>
      <c r="G32" s="81" t="str">
        <f>IF(AND(F32&lt;&gt;"",COUNTIF($F$11:F31,F32)&gt;0),"",
  IFERROR(
    IF(AND(F32&lt;&gt;"",
      SUMIFS(Cant!$I$2:$I$99,Cant!$M$2:$M$99,F32,Cant!$J$2:$J$99,"22/0.4")
      +SUMIFS(Cant!$I$2:$I$99,Cant!$M$2:$M$99,F32,Cant!$J$2:$J$99,"22/0.5")&gt;0),
      SUMIFS(Cant!$I$2:$I$99,Cant!$M$2:$M$99,F32,Cant!$J$2:$J$99,"22/0.4")
      +SUMIFS(Cant!$I$2:$I$99,Cant!$M$2:$M$99,F32,Cant!$J$2:$J$99,"22/0.5"),
    ""),
  ""))</f>
        <v/>
      </c>
      <c r="H32" s="85" t="str">
        <f t="shared" si="0"/>
        <v/>
      </c>
      <c r="I32" s="86" t="str">
        <f>IF(AND(F32&lt;&gt;"",COUNTIF($F$11:F31,F32)&gt;0),"",IFERROR(
   IF(AND(H32&lt;&gt;"",
      SUMIFS(Cant!$I$2:$I$99,Cant!$M$2:$M$99,H32,Cant!$J$2:$J$99,"22/1.0")
     +SUMIFS(Cant!$I$2:$I$99,Cant!$M$2:$M$99,H32,Cant!$J$2:$J$99,"23/1.0")&gt;0),
      SUMIFS(Cant!$I$2:$I$99,Cant!$M$2:$M$99,H32,Cant!$J$2:$J$99,"22/1.0")
     +SUMIFS(Cant!$I$2:$I$99,Cant!$M$2:$M$99,H32,Cant!$J$2:$J$99,"23/1.0"),
   ""),""))</f>
        <v/>
      </c>
      <c r="J32" s="90" t="str">
        <f t="shared" si="1"/>
        <v/>
      </c>
      <c r="K32" s="91" t="str">
        <f>IF(AND(F32&lt;&gt;"",COUNTIF($F$11:F31,F32)&gt;0),"",IFERROR(IF(AND(J32&lt;&gt;"",SUMIFS(Cant!$I$2:$I$99,Cant!$M$2:$M$99,J32,Cant!$J$2:$J$99,"23/0.8")&gt;0),SUMIFS(Cant!$I$2:$I$99,Cant!$M$2:$M$99,J32,Cant!$J$2:$J$99,"23/0.8"),""),""))</f>
        <v/>
      </c>
      <c r="L32" s="95" t="str">
        <f t="shared" si="2"/>
        <v/>
      </c>
      <c r="M32" s="96" t="str">
        <f>IF(AND(F32&lt;&gt;"",COUNTIF($F$11:F31,F32)&gt;0),"",IFERROR(IF(AND(L32&lt;&gt;"",SUMIFS(Cant!$I$2:$I$99,Cant!$M$2:$M$99,L32,Cant!$J$2:$J$99,"23/2.0")&gt;0),SUMIFS(Cant!$I$2:$I$99,Cant!$M$2:$M$99,L32,Cant!$J$2:$J$99,"23/2.0"),""),""))</f>
        <v/>
      </c>
      <c r="N32" s="67" t="str">
        <f t="shared" si="3"/>
        <v/>
      </c>
      <c r="O32" s="30" t="str">
        <f>IF(AND(F32&lt;&gt;"",COUNTIF($F$11:F31,F32)&gt;0),"",IFERROR(IF(COUNTIF(F$11:F$22,N32)&gt;0,"",IF(AND(N32&lt;&gt;"",SUMIFS(Cant!$I$2:$I$100,Cant!$M$2:$M$100,N32,Cant!$J$2:$J$100,"43/1.0")+SUMIFS(Cant!$I$2:$I$99,Cant!$M$2:$M$99,N32,Cant!$J$2:$J$99,"43/0.8")+SUMIFS(Cant!$I$2:$I$99,Cant!$M$2:$M$99,N32,Cant!$J$2:$J$99,"42/1.0")&gt;0),SUMIFS(Cant!$I$2:$I$100,Cant!$M$2:$M$100,N32,Cant!$J$2:$J$100,"43/1.0")+SUMIFS(Cant!$I$2:$I$99,Cant!$M$2:$M$99,N32,Cant!$J$2:$J$99,"43/0.8")+SUMIFS(Cant!$I$2:$I$99,Cant!$M$2:$M$99,N32,Cant!$J$2:$J$99,"42/1.0"),"")),""))</f>
        <v/>
      </c>
      <c r="P32" s="67" t="str">
        <f t="shared" si="4"/>
        <v/>
      </c>
      <c r="Q32" s="30" t="str">
        <f>IF(AND(F32&lt;&gt;"",COUNTIF($F$11:F31,F32)&gt;0),"",IFERROR(IF(COUNTIF(F$11:F$22,P32)&gt;0,"",IF(AND(P32&lt;&gt;"",SUMIFS(Cant!$I$2:$I$100,Cant!$M$2:$M$100,P32,Cant!$J$2:$J$100,"43/1.5")+SUMIFS(Cant!$I$2:$I$100,Cant!$M$2:$M$100,P32,Cant!$J$2:$J$100,"24/1.5")&gt;0),SUMIFS(Cant!$I$2:$I$100,Cant!$M$2:$M$100,P32,Cant!$J$2:$J$100,"43/1.5")+SUMIFS(Cant!$I$2:$I$100,Cant!$M$2:$M$100,P32,Cant!$J$2:$J$100,"24/1.5"),"")),""))</f>
        <v/>
      </c>
      <c r="R32" s="67" t="str">
        <f t="shared" si="5"/>
        <v/>
      </c>
      <c r="S32" s="30" t="str">
        <f>IF(AND(F32&lt;&gt;"",COUNTIF($F$11:F31,F32)&gt;0),"",IFERROR(IF(AND(R32&lt;&gt;"",SUMIFS(Cant!$I$2:$I$99,Cant!$M$2:$M$99,R32,Cant!$J$2:$J$99,"43/2.0")&gt;0),SUMIFS(Cant!$I$2:$I$99,Cant!$M$2:$M$99,R32,Cant!$J$2:$J$99,"43/2.0"),""),""))</f>
        <v/>
      </c>
    </row>
    <row r="33" spans="1:19">
      <c r="A33" s="166"/>
      <c r="B33" s="67" t="str" cm="1">
        <f t="array" ref="B33">IFERROR(_xlfn.SINGLE(INDEX(Deco!$Y$2:$Y$99,_xlfn.AGGREGATE(15,6,ROW(Deco!$Y$2:$Y$99)-ROW(Deco!$Y$2)+1/((Deco!$W$2:$W$99="Blat")+(Deco!$W$2:$W$99="LC")),2))),"")</f>
        <v/>
      </c>
      <c r="C33" s="109" t="str">
        <f>IF(D33="buc",IF(B33&lt;&gt;"",INDEX(Deco!$C$2:$C$99,MATCH(B33,Deco!$Y$2:$Y$99,0)),""),IF(B33&lt;&gt;"",INDEX(Deco!$V$2:$V$99,MATCH(B33,Deco!$Y$2:$Y$99,0)),""))</f>
        <v/>
      </c>
      <c r="D33" s="30" t="s">
        <v>54</v>
      </c>
      <c r="E33" s="2"/>
      <c r="F33" s="150" t="str" cm="1">
        <f t="array" ref="F33">IFERROR(INDEX(Cant!$M$2:$M$99,_xlfn.AGGREGATE(15,6,(ROW(Cant!$M$2:$M$99)-ROW(Cant!$M$2)+1)/((Cant!$M$2:$M$99&lt;&gt;"")*(COUNTIF($F$10:F32,Cant!$M$2:$M$99)=0)),1)),"")</f>
        <v/>
      </c>
      <c r="G33" s="81" t="str">
        <f>IF(AND(F33&lt;&gt;"",COUNTIF($F$11:F32,F33)&gt;0),"",
  IFERROR(
    IF(AND(F33&lt;&gt;"",
      SUMIFS(Cant!$I$2:$I$99,Cant!$M$2:$M$99,F33,Cant!$J$2:$J$99,"22/0.4")
      +SUMIFS(Cant!$I$2:$I$99,Cant!$M$2:$M$99,F33,Cant!$J$2:$J$99,"22/0.5")&gt;0),
      SUMIFS(Cant!$I$2:$I$99,Cant!$M$2:$M$99,F33,Cant!$J$2:$J$99,"22/0.4")
      +SUMIFS(Cant!$I$2:$I$99,Cant!$M$2:$M$99,F33,Cant!$J$2:$J$99,"22/0.5"),
    ""),
  ""))</f>
        <v/>
      </c>
      <c r="H33" s="85" t="str">
        <f t="shared" si="0"/>
        <v/>
      </c>
      <c r="I33" s="86" t="str">
        <f>IF(AND(F33&lt;&gt;"",COUNTIF($F$11:F32,F33)&gt;0),"",IFERROR(
   IF(AND(H33&lt;&gt;"",
      SUMIFS(Cant!$I$2:$I$99,Cant!$M$2:$M$99,H33,Cant!$J$2:$J$99,"22/1.0")
     +SUMIFS(Cant!$I$2:$I$99,Cant!$M$2:$M$99,H33,Cant!$J$2:$J$99,"23/1.0")&gt;0),
      SUMIFS(Cant!$I$2:$I$99,Cant!$M$2:$M$99,H33,Cant!$J$2:$J$99,"22/1.0")
     +SUMIFS(Cant!$I$2:$I$99,Cant!$M$2:$M$99,H33,Cant!$J$2:$J$99,"23/1.0"),
   ""),""))</f>
        <v/>
      </c>
      <c r="J33" s="90" t="str">
        <f t="shared" si="1"/>
        <v/>
      </c>
      <c r="K33" s="91" t="str">
        <f>IF(AND(F33&lt;&gt;"",COUNTIF($F$11:F32,F33)&gt;0),"",IFERROR(IF(AND(J33&lt;&gt;"",SUMIFS(Cant!$I$2:$I$99,Cant!$M$2:$M$99,J33,Cant!$J$2:$J$99,"23/0.8")&gt;0),SUMIFS(Cant!$I$2:$I$99,Cant!$M$2:$M$99,J33,Cant!$J$2:$J$99,"23/0.8"),""),""))</f>
        <v/>
      </c>
      <c r="L33" s="95" t="str">
        <f t="shared" si="2"/>
        <v/>
      </c>
      <c r="M33" s="96" t="str">
        <f>IF(AND(F33&lt;&gt;"",COUNTIF($F$11:F32,F33)&gt;0),"",IFERROR(IF(AND(L33&lt;&gt;"",SUMIFS(Cant!$I$2:$I$99,Cant!$M$2:$M$99,L33,Cant!$J$2:$J$99,"23/2.0")&gt;0),SUMIFS(Cant!$I$2:$I$99,Cant!$M$2:$M$99,L33,Cant!$J$2:$J$99,"23/2.0"),""),""))</f>
        <v/>
      </c>
      <c r="N33" s="67" t="str">
        <f t="shared" si="3"/>
        <v/>
      </c>
      <c r="O33" s="30" t="str">
        <f>IF(AND(F33&lt;&gt;"",COUNTIF($F$11:F32,F33)&gt;0),"",IFERROR(IF(COUNTIF(F$11:F$22,N33)&gt;0,"",IF(AND(N33&lt;&gt;"",SUMIFS(Cant!$I$2:$I$100,Cant!$M$2:$M$100,N33,Cant!$J$2:$J$100,"43/1.0")+SUMIFS(Cant!$I$2:$I$99,Cant!$M$2:$M$99,N33,Cant!$J$2:$J$99,"43/0.8")+SUMIFS(Cant!$I$2:$I$99,Cant!$M$2:$M$99,N33,Cant!$J$2:$J$99,"42/1.0")&gt;0),SUMIFS(Cant!$I$2:$I$100,Cant!$M$2:$M$100,N33,Cant!$J$2:$J$100,"43/1.0")+SUMIFS(Cant!$I$2:$I$99,Cant!$M$2:$M$99,N33,Cant!$J$2:$J$99,"43/0.8")+SUMIFS(Cant!$I$2:$I$99,Cant!$M$2:$M$99,N33,Cant!$J$2:$J$99,"42/1.0"),"")),""))</f>
        <v/>
      </c>
      <c r="P33" s="67" t="str">
        <f t="shared" si="4"/>
        <v/>
      </c>
      <c r="Q33" s="30" t="str">
        <f>IF(AND(F33&lt;&gt;"",COUNTIF($F$11:F32,F33)&gt;0),"",IFERROR(IF(COUNTIF(F$11:F$22,P33)&gt;0,"",IF(AND(P33&lt;&gt;"",SUMIFS(Cant!$I$2:$I$100,Cant!$M$2:$M$100,P33,Cant!$J$2:$J$100,"43/1.5")+SUMIFS(Cant!$I$2:$I$100,Cant!$M$2:$M$100,P33,Cant!$J$2:$J$100,"24/1.5")&gt;0),SUMIFS(Cant!$I$2:$I$100,Cant!$M$2:$M$100,P33,Cant!$J$2:$J$100,"43/1.5")+SUMIFS(Cant!$I$2:$I$100,Cant!$M$2:$M$100,P33,Cant!$J$2:$J$100,"24/1.5"),"")),""))</f>
        <v/>
      </c>
      <c r="R33" s="67" t="str">
        <f t="shared" si="5"/>
        <v/>
      </c>
      <c r="S33" s="30" t="str">
        <f>IF(AND(F33&lt;&gt;"",COUNTIF($F$11:F32,F33)&gt;0),"",IFERROR(IF(AND(R33&lt;&gt;"",SUMIFS(Cant!$I$2:$I$99,Cant!$M$2:$M$99,R33,Cant!$J$2:$J$99,"43/2.0")&gt;0),SUMIFS(Cant!$I$2:$I$99,Cant!$M$2:$M$99,R33,Cant!$J$2:$J$99,"43/2.0"),""),""))</f>
        <v/>
      </c>
    </row>
    <row r="34" spans="1:19" ht="15.75" thickBot="1">
      <c r="A34" s="167"/>
      <c r="B34" s="67" t="str" cm="1">
        <f t="array" ref="B34">IFERROR(_xlfn.SINGLE(INDEX(Deco!$Y$2:$Y$99,_xlfn.AGGREGATE(15,6,ROW(Deco!$Y$2:$Y$99)-ROW(Deco!$Y$2)+1/((Deco!$W$2:$W$99="Blat")+(Deco!$W$2:$W$99="LC")),3))),"")</f>
        <v/>
      </c>
      <c r="C34" s="109" t="str">
        <f>IF(D34="buc",IF(B34&lt;&gt;"",INDEX(Deco!$C$2:$C$99,MATCH(B34,Deco!$Y$2:$Y$99,0)),""),IF(B34&lt;&gt;"",INDEX(Deco!$V$2:$V$99,MATCH(B34,Deco!$Y$2:$Y$99,0)),""))</f>
        <v/>
      </c>
      <c r="D34" s="31" t="s">
        <v>54</v>
      </c>
      <c r="E34" s="2"/>
      <c r="F34" s="150" t="str" cm="1">
        <f t="array" ref="F34">IFERROR(INDEX(Cant!$M$2:$M$99,_xlfn.AGGREGATE(15,6,(ROW(Cant!$M$2:$M$99)-ROW(Cant!$M$2)+1)/((Cant!$M$2:$M$99&lt;&gt;"")*(COUNTIF($F$10:F33,Cant!$M$2:$M$99)=0)),1)),"")</f>
        <v/>
      </c>
      <c r="G34" s="81" t="str">
        <f>IF(AND(F34&lt;&gt;"",COUNTIF($F$11:F33,F34)&gt;0),"",
  IFERROR(
    IF(AND(F34&lt;&gt;"",
      SUMIFS(Cant!$I$2:$I$99,Cant!$M$2:$M$99,F34,Cant!$J$2:$J$99,"22/0.4")
      +SUMIFS(Cant!$I$2:$I$99,Cant!$M$2:$M$99,F34,Cant!$J$2:$J$99,"22/0.5")&gt;0),
      SUMIFS(Cant!$I$2:$I$99,Cant!$M$2:$M$99,F34,Cant!$J$2:$J$99,"22/0.4")
      +SUMIFS(Cant!$I$2:$I$99,Cant!$M$2:$M$99,F34,Cant!$J$2:$J$99,"22/0.5"),
    ""),
  ""))</f>
        <v/>
      </c>
      <c r="H34" s="85" t="str">
        <f t="shared" si="0"/>
        <v/>
      </c>
      <c r="I34" s="86" t="str">
        <f>IF(AND(F34&lt;&gt;"",COUNTIF($F$11:F33,F34)&gt;0),"",IFERROR(
   IF(AND(H34&lt;&gt;"",
      SUMIFS(Cant!$I$2:$I$99,Cant!$M$2:$M$99,H34,Cant!$J$2:$J$99,"22/1.0")
     +SUMIFS(Cant!$I$2:$I$99,Cant!$M$2:$M$99,H34,Cant!$J$2:$J$99,"23/1.0")&gt;0),
      SUMIFS(Cant!$I$2:$I$99,Cant!$M$2:$M$99,H34,Cant!$J$2:$J$99,"22/1.0")
     +SUMIFS(Cant!$I$2:$I$99,Cant!$M$2:$M$99,H34,Cant!$J$2:$J$99,"23/1.0"),
   ""),""))</f>
        <v/>
      </c>
      <c r="J34" s="90" t="str">
        <f t="shared" si="1"/>
        <v/>
      </c>
      <c r="K34" s="91" t="str">
        <f>IF(AND(F34&lt;&gt;"",COUNTIF($F$11:F33,F34)&gt;0),"",IFERROR(IF(AND(J34&lt;&gt;"",SUMIFS(Cant!$I$2:$I$99,Cant!$M$2:$M$99,J34,Cant!$J$2:$J$99,"23/0.8")&gt;0),SUMIFS(Cant!$I$2:$I$99,Cant!$M$2:$M$99,J34,Cant!$J$2:$J$99,"23/0.8"),""),""))</f>
        <v/>
      </c>
      <c r="L34" s="95" t="str">
        <f t="shared" si="2"/>
        <v/>
      </c>
      <c r="M34" s="96" t="str">
        <f>IF(AND(F34&lt;&gt;"",COUNTIF($F$11:F33,F34)&gt;0),"",IFERROR(IF(AND(L34&lt;&gt;"",SUMIFS(Cant!$I$2:$I$99,Cant!$M$2:$M$99,L34,Cant!$J$2:$J$99,"23/2.0")&gt;0),SUMIFS(Cant!$I$2:$I$99,Cant!$M$2:$M$99,L34,Cant!$J$2:$J$99,"23/2.0"),""),""))</f>
        <v/>
      </c>
      <c r="N34" s="67" t="str">
        <f t="shared" si="3"/>
        <v/>
      </c>
      <c r="O34" s="30" t="str">
        <f>IF(AND(F34&lt;&gt;"",COUNTIF($F$11:F33,F34)&gt;0),"",IFERROR(IF(COUNTIF(F$11:F$22,N34)&gt;0,"",IF(AND(N34&lt;&gt;"",SUMIFS(Cant!$I$2:$I$100,Cant!$M$2:$M$100,N34,Cant!$J$2:$J$100,"43/1.0")+SUMIFS(Cant!$I$2:$I$99,Cant!$M$2:$M$99,N34,Cant!$J$2:$J$99,"43/0.8")+SUMIFS(Cant!$I$2:$I$99,Cant!$M$2:$M$99,N34,Cant!$J$2:$J$99,"42/1.0")&gt;0),SUMIFS(Cant!$I$2:$I$100,Cant!$M$2:$M$100,N34,Cant!$J$2:$J$100,"43/1.0")+SUMIFS(Cant!$I$2:$I$99,Cant!$M$2:$M$99,N34,Cant!$J$2:$J$99,"43/0.8")+SUMIFS(Cant!$I$2:$I$99,Cant!$M$2:$M$99,N34,Cant!$J$2:$J$99,"42/1.0"),"")),""))</f>
        <v/>
      </c>
      <c r="P34" s="67" t="str">
        <f t="shared" si="4"/>
        <v/>
      </c>
      <c r="Q34" s="30" t="str">
        <f>IF(AND(F34&lt;&gt;"",COUNTIF($F$11:F33,F34)&gt;0),"",IFERROR(IF(COUNTIF(F$11:F$22,P34)&gt;0,"",IF(AND(P34&lt;&gt;"",SUMIFS(Cant!$I$2:$I$100,Cant!$M$2:$M$100,P34,Cant!$J$2:$J$100,"43/1.5")+SUMIFS(Cant!$I$2:$I$100,Cant!$M$2:$M$100,P34,Cant!$J$2:$J$100,"24/1.5")&gt;0),SUMIFS(Cant!$I$2:$I$100,Cant!$M$2:$M$100,P34,Cant!$J$2:$J$100,"43/1.5")+SUMIFS(Cant!$I$2:$I$100,Cant!$M$2:$M$100,P34,Cant!$J$2:$J$100,"24/1.5"),"")),""))</f>
        <v/>
      </c>
      <c r="R34" s="67" t="str">
        <f t="shared" si="5"/>
        <v/>
      </c>
      <c r="S34" s="30" t="str">
        <f>IF(AND(F34&lt;&gt;"",COUNTIF($F$11:F33,F34)&gt;0),"",IFERROR(IF(AND(R34&lt;&gt;"",SUMIFS(Cant!$I$2:$I$99,Cant!$M$2:$M$99,R34,Cant!$J$2:$J$99,"43/2.0")&gt;0),SUMIFS(Cant!$I$2:$I$99,Cant!$M$2:$M$99,R34,Cant!$J$2:$J$99,"43/2.0"),""),""))</f>
        <v/>
      </c>
    </row>
    <row r="35" spans="1:19" s="50" customFormat="1" ht="14.25" hidden="1" customHeight="1" thickBot="1">
      <c r="A35" s="55"/>
      <c r="B35" s="62"/>
      <c r="C35" s="48"/>
      <c r="D35" s="63"/>
      <c r="E35" s="48"/>
      <c r="F35" s="150"/>
      <c r="G35" s="81"/>
      <c r="H35" s="85" t="str">
        <f t="shared" si="0"/>
        <v/>
      </c>
      <c r="I35" s="86"/>
      <c r="J35" s="90" t="str">
        <f t="shared" si="1"/>
        <v/>
      </c>
      <c r="K35" s="91"/>
      <c r="L35" s="95" t="str">
        <f t="shared" si="2"/>
        <v/>
      </c>
      <c r="M35" s="96"/>
      <c r="N35" s="67" t="str">
        <f t="shared" si="3"/>
        <v/>
      </c>
      <c r="O35" s="157"/>
      <c r="P35" s="67" t="str">
        <f t="shared" si="4"/>
        <v/>
      </c>
      <c r="Q35" s="157"/>
      <c r="R35" s="67" t="str">
        <f t="shared" si="5"/>
        <v/>
      </c>
      <c r="S35" s="161"/>
    </row>
    <row r="36" spans="1:19">
      <c r="A36" s="165" t="s">
        <v>79</v>
      </c>
      <c r="B36" s="56" t="str" cm="1">
        <f t="array" ref="B36">IFERROR(_xlfn.SINGLE(INDEX(Deco!$Y$2:$Y$99,_xlfn.AGGREGATE(15,6,ROW(Deco!$Y$2:$Y$99)-ROW(Deco!$Y$2)+1/(Deco!$W$2:$W$99="PS"),1))),"")</f>
        <v/>
      </c>
      <c r="C36" s="58" t="str">
        <f>IF(D36="buc",IF(B36&lt;&gt;"",INDEX(Deco!$C$2:$C$99,MATCH(B36,Deco!$Y$2:$Y$99,0)),""),IF(B36&lt;&gt;"",INDEX(Deco!$V$2:$V$99,MATCH(B36,Deco!$Y$2:$Y$99,0)),""))</f>
        <v/>
      </c>
      <c r="D36" s="29" t="s">
        <v>54</v>
      </c>
      <c r="E36" s="2"/>
      <c r="F36" s="150" t="str" cm="1">
        <f t="array" ref="F36">IFERROR(INDEX(Cant!$M$2:$M$99,_xlfn.AGGREGATE(15,6,(ROW(Cant!$M$2:$M$99)-ROW(Cant!$M$2)+1)/((Cant!$M$2:$M$99&lt;&gt;"")*(COUNTIF($F$10:F35,Cant!$M$2:$M$99)=0)),1)),"")</f>
        <v/>
      </c>
      <c r="G36" s="81" t="str">
        <f>IF(AND(F36&lt;&gt;"",COUNTIF($F$11:F35,F36)&gt;0),"",
  IFERROR(
    IF(AND(F36&lt;&gt;"",
      SUMIFS(Cant!$I$2:$I$99,Cant!$M$2:$M$99,F36,Cant!$J$2:$J$99,"22/0.4")
      +SUMIFS(Cant!$I$2:$I$99,Cant!$M$2:$M$99,F36,Cant!$J$2:$J$99,"22/0.5")&gt;0),
      SUMIFS(Cant!$I$2:$I$99,Cant!$M$2:$M$99,F36,Cant!$J$2:$J$99,"22/0.4")
      +SUMIFS(Cant!$I$2:$I$99,Cant!$M$2:$M$99,F36,Cant!$J$2:$J$99,"22/0.5"),
    ""),
  ""))</f>
        <v/>
      </c>
      <c r="H36" s="85" t="str">
        <f t="shared" si="0"/>
        <v/>
      </c>
      <c r="I36" s="86" t="str">
        <f>IF(AND(F36&lt;&gt;"",COUNTIF($F$11:F35,F36)&gt;0),"",IFERROR(
   IF(AND(H36&lt;&gt;"",
      SUMIFS(Cant!$I$2:$I$99,Cant!$M$2:$M$99,H36,Cant!$J$2:$J$99,"22/1.0")
     +SUMIFS(Cant!$I$2:$I$99,Cant!$M$2:$M$99,H36,Cant!$J$2:$J$99,"23/1.0")&gt;0),
      SUMIFS(Cant!$I$2:$I$99,Cant!$M$2:$M$99,H36,Cant!$J$2:$J$99,"22/1.0")
     +SUMIFS(Cant!$I$2:$I$99,Cant!$M$2:$M$99,H36,Cant!$J$2:$J$99,"23/1.0"),
   ""),""))</f>
        <v/>
      </c>
      <c r="J36" s="90" t="str">
        <f t="shared" si="1"/>
        <v/>
      </c>
      <c r="K36" s="91" t="str">
        <f>IF(AND(F36&lt;&gt;"",COUNTIF($F$11:F35,F36)&gt;0),"",IFERROR(IF(AND(J36&lt;&gt;"",SUMIFS(Cant!$I$2:$I$99,Cant!$M$2:$M$99,J36,Cant!$J$2:$J$99,"23/0.8")&gt;0),SUMIFS(Cant!$I$2:$I$99,Cant!$M$2:$M$99,J36,Cant!$J$2:$J$99,"23/0.8"),""),""))</f>
        <v/>
      </c>
      <c r="L36" s="95" t="str">
        <f t="shared" si="2"/>
        <v/>
      </c>
      <c r="M36" s="96" t="str">
        <f>IF(AND(F36&lt;&gt;"",COUNTIF($F$11:F35,F36)&gt;0),"",IFERROR(IF(AND(L36&lt;&gt;"",SUMIFS(Cant!$I$2:$I$99,Cant!$M$2:$M$99,L36,Cant!$J$2:$J$99,"23/2.0")&gt;0),SUMIFS(Cant!$I$2:$I$99,Cant!$M$2:$M$99,L36,Cant!$J$2:$J$99,"23/2.0"),""),""))</f>
        <v/>
      </c>
      <c r="N36" s="67" t="str">
        <f t="shared" si="3"/>
        <v/>
      </c>
      <c r="O36" s="30" t="str">
        <f>IF(AND(F36&lt;&gt;"",COUNTIF($F$11:F35,F36)&gt;0),"",IFERROR(IF(COUNTIF(H$11:H$22,N36)&gt;0,"",IF(AND(N36&lt;&gt;"",SUMIFS(Cant!$I$2:$I$100,Cant!$M$2:$M$100,N36,Cant!$J$2:$J$100,"43/1.0")+SUMIFS(Cant!$I$2:$I$99,Cant!$M$2:$M$99,N36,Cant!$J$2:$J$99,"43/0.8")+SUMIFS(Cant!$I$2:$I$99,Cant!$M$2:$M$99,N36,Cant!$J$2:$J$99,"42/1.0")&gt;0),SUMIFS(Cant!$I$2:$I$100,Cant!$M$2:$M$100,N36,Cant!$J$2:$J$100,"43/1.0")+SUMIFS(Cant!$I$2:$I$99,Cant!$M$2:$M$99,N36,Cant!$J$2:$J$99,"43/0.8")+SUMIFS(Cant!$I$2:$I$99,Cant!$M$2:$M$99,N36,Cant!$J$2:$J$99,"42/1.0"),"")),""))</f>
        <v/>
      </c>
      <c r="P36" s="67" t="str">
        <f t="shared" si="4"/>
        <v/>
      </c>
      <c r="Q36" s="30" t="str">
        <f>IF(AND(F36&lt;&gt;"",COUNTIF($F$11:F35,F36)&gt;0),"",IFERROR(IF(COUNTIF(F$11:F$22,P36)&gt;0,"",IF(AND(P36&lt;&gt;"",SUMIFS(Cant!$I$2:$I$100,Cant!$M$2:$M$100,P36,Cant!$J$2:$J$100,"43/1.5")+SUMIFS(Cant!$I$2:$I$100,Cant!$M$2:$M$100,P36,Cant!$J$2:$J$100,"24/1.5")&gt;0),SUMIFS(Cant!$I$2:$I$100,Cant!$M$2:$M$100,P36,Cant!$J$2:$J$100,"43/1.5")+SUMIFS(Cant!$I$2:$I$100,Cant!$M$2:$M$100,P36,Cant!$J$2:$J$100,"24/1.5"),"")),""))</f>
        <v/>
      </c>
      <c r="R36" s="67" t="str">
        <f t="shared" si="5"/>
        <v/>
      </c>
      <c r="S36" s="30" t="str">
        <f>IF(AND(F36&lt;&gt;"",COUNTIF($F$11:F35,F36)&gt;0),"",IFERROR(IF(AND(R36&lt;&gt;"",SUMIFS(Cant!$I$2:$I$99,Cant!$M$2:$M$99,R36,Cant!$J$2:$J$99,"43/2.0")&gt;0),SUMIFS(Cant!$I$2:$I$99,Cant!$M$2:$M$99,R36,Cant!$J$2:$J$99,"43/2.0"),""),""))</f>
        <v/>
      </c>
    </row>
    <row r="37" spans="1:19">
      <c r="A37" s="166"/>
      <c r="B37" s="67" t="str" cm="1">
        <f t="array" ref="B37">IFERROR(_xlfn.SINGLE(INDEX(Deco!$Y$2:$Y$99,_xlfn.AGGREGATE(15,6,ROW(Deco!$Y$2:$Y$99)-ROW(Deco!$Y$2)+1/(Deco!$W$2:$W$99="PS"),2))),"")</f>
        <v/>
      </c>
      <c r="C37" s="109" t="str">
        <f>IF(D37="buc",IF(B37&lt;&gt;"",INDEX(Deco!$C$2:$C$99,MATCH(B37,Deco!$Y$2:$Y$99,0)),""),IF(B37&lt;&gt;"",INDEX(Deco!$V$2:$V$99,MATCH(B37,Deco!$Y$2:$Y$99,0)),""))</f>
        <v/>
      </c>
      <c r="D37" s="30" t="s">
        <v>54</v>
      </c>
      <c r="E37" s="2"/>
      <c r="F37" s="150" t="str" cm="1">
        <f t="array" ref="F37">IFERROR(INDEX(Cant!$M$2:$M$99,_xlfn.AGGREGATE(15,6,(ROW(Cant!$M$2:$M$99)-ROW(Cant!$M$2)+1)/((Cant!$M$2:$M$99&lt;&gt;"")*(COUNTIF($F$10:F36,Cant!$M$2:$M$99)=0)),1)),"")</f>
        <v/>
      </c>
      <c r="G37" s="81" t="str">
        <f>IF(AND(F37&lt;&gt;"",COUNTIF($F$11:F36,F37)&gt;0),"",
  IFERROR(
    IF(AND(F37&lt;&gt;"",
      SUMIFS(Cant!$I$2:$I$99,Cant!$M$2:$M$99,F37,Cant!$J$2:$J$99,"22/0.4")
      +SUMIFS(Cant!$I$2:$I$99,Cant!$M$2:$M$99,F37,Cant!$J$2:$J$99,"22/0.5")&gt;0),
      SUMIFS(Cant!$I$2:$I$99,Cant!$M$2:$M$99,F37,Cant!$J$2:$J$99,"22/0.4")
      +SUMIFS(Cant!$I$2:$I$99,Cant!$M$2:$M$99,F37,Cant!$J$2:$J$99,"22/0.5"),
    ""),
  ""))</f>
        <v/>
      </c>
      <c r="H37" s="85" t="str">
        <f t="shared" si="0"/>
        <v/>
      </c>
      <c r="I37" s="86" t="str">
        <f>IF(AND(F37&lt;&gt;"",COUNTIF($F$11:F36,F37)&gt;0),"",IFERROR(
   IF(AND(H37&lt;&gt;"",
      SUMIFS(Cant!$I$2:$I$99,Cant!$M$2:$M$99,H37,Cant!$J$2:$J$99,"22/1.0")
     +SUMIFS(Cant!$I$2:$I$99,Cant!$M$2:$M$99,H37,Cant!$J$2:$J$99,"23/1.0")&gt;0),
      SUMIFS(Cant!$I$2:$I$99,Cant!$M$2:$M$99,H37,Cant!$J$2:$J$99,"22/1.0")
     +SUMIFS(Cant!$I$2:$I$99,Cant!$M$2:$M$99,H37,Cant!$J$2:$J$99,"23/1.0"),
   ""),""))</f>
        <v/>
      </c>
      <c r="J37" s="90" t="str">
        <f t="shared" si="1"/>
        <v/>
      </c>
      <c r="K37" s="91" t="str">
        <f>IF(AND(F37&lt;&gt;"",COUNTIF($F$11:F36,F37)&gt;0),"",IFERROR(IF(AND(J37&lt;&gt;"",SUMIFS(Cant!$I$2:$I$99,Cant!$M$2:$M$99,J37,Cant!$J$2:$J$99,"23/0.8")&gt;0),SUMIFS(Cant!$I$2:$I$99,Cant!$M$2:$M$99,J37,Cant!$J$2:$J$99,"23/0.8"),""),""))</f>
        <v/>
      </c>
      <c r="L37" s="95" t="str">
        <f t="shared" si="2"/>
        <v/>
      </c>
      <c r="M37" s="96" t="str">
        <f>IF(AND(F37&lt;&gt;"",COUNTIF($F$11:F36,F37)&gt;0),"",IFERROR(IF(AND(L37&lt;&gt;"",SUMIFS(Cant!$I$2:$I$99,Cant!$M$2:$M$99,L37,Cant!$J$2:$J$99,"23/2.0")&gt;0),SUMIFS(Cant!$I$2:$I$99,Cant!$M$2:$M$99,L37,Cant!$J$2:$J$99,"23/2.0"),""),""))</f>
        <v/>
      </c>
      <c r="N37" s="67" t="str">
        <f t="shared" si="3"/>
        <v/>
      </c>
      <c r="O37" s="30" t="str">
        <f>IF(AND(F37&lt;&gt;"",COUNTIF($F$11:F36,F37)&gt;0),"",IFERROR(IF(COUNTIF(H$11:H$22,N37)&gt;0,"",IF(AND(N37&lt;&gt;"",SUMIFS(Cant!$I$2:$I$100,Cant!$M$2:$M$100,N37,Cant!$J$2:$J$100,"43/1.0")+SUMIFS(Cant!$I$2:$I$99,Cant!$M$2:$M$99,N37,Cant!$J$2:$J$99,"43/0.8")+SUMIFS(Cant!$I$2:$I$99,Cant!$M$2:$M$99,N37,Cant!$J$2:$J$99,"42/1.0")&gt;0),SUMIFS(Cant!$I$2:$I$100,Cant!$M$2:$M$100,N37,Cant!$J$2:$J$100,"43/1.0")+SUMIFS(Cant!$I$2:$I$99,Cant!$M$2:$M$99,N37,Cant!$J$2:$J$99,"43/0.8")+SUMIFS(Cant!$I$2:$I$99,Cant!$M$2:$M$99,N37,Cant!$J$2:$J$99,"42/1.0"),"")),""))</f>
        <v/>
      </c>
      <c r="P37" s="67" t="str">
        <f t="shared" si="4"/>
        <v/>
      </c>
      <c r="Q37" s="30" t="str">
        <f>IF(AND(F37&lt;&gt;"",COUNTIF($F$11:F36,F37)&gt;0),"",IFERROR(IF(COUNTIF(F$11:F$22,P37)&gt;0,"",IF(AND(P37&lt;&gt;"",SUMIFS(Cant!$I$2:$I$100,Cant!$M$2:$M$100,P37,Cant!$J$2:$J$100,"43/1.5")+SUMIFS(Cant!$I$2:$I$100,Cant!$M$2:$M$100,P37,Cant!$J$2:$J$100,"24/1.5")&gt;0),SUMIFS(Cant!$I$2:$I$100,Cant!$M$2:$M$100,P37,Cant!$J$2:$J$100,"43/1.5")+SUMIFS(Cant!$I$2:$I$100,Cant!$M$2:$M$100,P37,Cant!$J$2:$J$100,"24/1.5"),"")),""))</f>
        <v/>
      </c>
      <c r="R37" s="67" t="str">
        <f t="shared" si="5"/>
        <v/>
      </c>
      <c r="S37" s="30" t="str">
        <f>IF(AND(F37&lt;&gt;"",COUNTIF($F$11:F36,F37)&gt;0),"",IFERROR(IF(AND(R37&lt;&gt;"",SUMIFS(Cant!$I$2:$I$99,Cant!$M$2:$M$99,R37,Cant!$J$2:$J$99,"43/2.0")&gt;0),SUMIFS(Cant!$I$2:$I$99,Cant!$M$2:$M$99,R37,Cant!$J$2:$J$99,"43/2.0"),""),""))</f>
        <v/>
      </c>
    </row>
    <row r="38" spans="1:19" ht="15.75" thickBot="1">
      <c r="A38" s="167"/>
      <c r="B38" s="68" t="str" cm="1">
        <f t="array" ref="B38">IFERROR(_xlfn.SINGLE(INDEX(Deco!$Y$2:$Y$99,_xlfn.AGGREGATE(15,6,ROW(Deco!$Y$2:$Y$99)-ROW(Deco!$Y$2)+1/(Deco!$W$2:$W$99="PS"),3))),"")</f>
        <v/>
      </c>
      <c r="C38" s="109" t="str">
        <f>IF(D38="buc",IF(B38&lt;&gt;"",INDEX(Deco!$C$2:$C$99,MATCH(B38,Deco!$Y$2:$Y$99,0)),""),IF(B38&lt;&gt;"",INDEX(Deco!$V$2:$V$99,MATCH(B38,Deco!$Y$2:$Y$99,0)),""))</f>
        <v/>
      </c>
      <c r="D38" s="31" t="s">
        <v>54</v>
      </c>
      <c r="E38" s="2"/>
      <c r="F38" s="144" t="str" cm="1">
        <f t="array" ref="F38">IFERROR(INDEX(Cant!$M$2:$M$99,_xlfn.AGGREGATE(15,6,(ROW(Cant!$M$2:$M$99)-ROW(Cant!$M$2)+1)/((Cant!$M$2:$M$99&lt;&gt;"")*(COUNTIF($F$10:F37,Cant!$M$2:$M$99)=0)),1)),"")</f>
        <v/>
      </c>
      <c r="G38" s="111" t="str">
        <f>IF(AND(F38&lt;&gt;"",COUNTIF($F$11:F37,F38)&gt;0),"",
  IFERROR(
    IF(AND(F37&lt;&gt;"",
      SUMIFS(Cant!$I$2:$I$99,Cant!$M$2:$M$99,F38,Cant!$J$2:$J$99,"22/0.4")
      +SUMIFS(Cant!$I$2:$I$99,Cant!$M$2:$M$99,F38,Cant!$J$2:$J$99,"22/0.5")&gt;0),
      SUMIFS(Cant!$I$2:$I$99,Cant!$M$2:$M$99,F38,Cant!$J$2:$J$99,"22/0.4")
      +SUMIFS(Cant!$I$2:$I$99,Cant!$M$2:$M$99,F38,Cant!$J$2:$J$99,"22/0.5"),
    ""),
  ""))</f>
        <v/>
      </c>
      <c r="H38" s="88" t="str">
        <f t="shared" si="0"/>
        <v/>
      </c>
      <c r="I38" s="112" t="str">
        <f>IF(AND(F38&lt;&gt;"",COUNTIF($F$11:F37,F38)&gt;0),"",IFERROR(
   IF(AND(H38&lt;&gt;"",
      SUMIFS(Cant!$I$2:$I$99,Cant!$M$2:$M$99,H38,Cant!$J$2:$J$99,"22/1.0")
     +SUMIFS(Cant!$I$2:$I$99,Cant!$M$2:$M$99,H38,Cant!$J$2:$J$99,"23/1.0")&gt;0),
      SUMIFS(Cant!$I$2:$I$99,Cant!$M$2:$M$99,H38,Cant!$J$2:$J$99,"22/1.0")
     +SUMIFS(Cant!$I$2:$I$99,Cant!$M$2:$M$99,H38,Cant!$J$2:$J$99,"23/1.0"),
   ""),""))</f>
        <v/>
      </c>
      <c r="J38" s="93" t="str">
        <f t="shared" si="1"/>
        <v/>
      </c>
      <c r="K38" s="113" t="str">
        <f>IF(AND(F38&lt;&gt;"",COUNTIF($F$11:F37,F38)&gt;0),"",IFERROR(IF(AND(J38&lt;&gt;"",SUMIFS(Cant!$I$2:$I$99,Cant!$M$2:$M$99,J38,Cant!$J$2:$J$99,"23/0.8")&gt;0),SUMIFS(Cant!$I$2:$I$99,Cant!$M$2:$M$99,J38,Cant!$J$2:$J$99,"23/0.8"),""),""))</f>
        <v/>
      </c>
      <c r="L38" s="98" t="str">
        <f t="shared" si="2"/>
        <v/>
      </c>
      <c r="M38" s="114" t="str">
        <f>IF(AND(F38&lt;&gt;"",COUNTIF($F$11:F37,F38)&gt;0),"",IFERROR(IF(AND(L38&lt;&gt;"",SUMIFS(Cant!$I$2:$I$99,Cant!$M$2:$M$99,L38,Cant!$J$2:$J$99,"23/2.0")&gt;0),SUMIFS(Cant!$I$2:$I$99,Cant!$M$2:$M$99,L38,Cant!$J$2:$J$99,"23/2.0"),""),""))</f>
        <v/>
      </c>
      <c r="N38" s="68" t="str">
        <f t="shared" si="3"/>
        <v/>
      </c>
      <c r="O38" s="31" t="str">
        <f>IF(AND(F38&lt;&gt;"",COUNTIF($F$11:F37,F38)&gt;0),"",IFERROR(IF(COUNTIF(H$11:H$22,N38)&gt;0,"",IF(AND(N38&lt;&gt;"",SUMIFS(Cant!$I$2:$I$100,Cant!$M$2:$M$100,N38,Cant!$J$2:$J$100,"43/1.0")+SUMIFS(Cant!$I$2:$I$99,Cant!$M$2:$M$99,N38,Cant!$J$2:$J$99,"43/0.8")+SUMIFS(Cant!$I$2:$I$99,Cant!$M$2:$M$99,N38,Cant!$J$2:$J$99,"42/1.0")&gt;0),SUMIFS(Cant!$I$2:$I$100,Cant!$M$2:$M$100,N38,Cant!$J$2:$J$100,"43/1.0")+SUMIFS(Cant!$I$2:$I$99,Cant!$M$2:$M$99,N38,Cant!$J$2:$J$99,"43/0.8")+SUMIFS(Cant!$I$2:$I$99,Cant!$M$2:$M$99,N38,Cant!$J$2:$J$99,"42/1.0"),"")),""))</f>
        <v/>
      </c>
      <c r="P38" s="68" t="str">
        <f t="shared" si="4"/>
        <v/>
      </c>
      <c r="Q38" s="31" t="str">
        <f>IF(AND(F38&lt;&gt;"",COUNTIF($F$11:F37,F38)&gt;0),"",IFERROR(IF(COUNTIF(F$11:F$22,P38)&gt;0,"",IF(AND(P38&lt;&gt;"",SUMIFS(Cant!$I$2:$I$100,Cant!$M$2:$M$100,P38,Cant!$J$2:$J$100,"43/1.5")+SUMIFS(Cant!$I$2:$I$100,Cant!$M$2:$M$100,P38,Cant!$J$2:$J$100,"24/1.5")&gt;0),SUMIFS(Cant!$I$2:$I$100,Cant!$M$2:$M$100,P38,Cant!$J$2:$J$100,"43/1.5")+SUMIFS(Cant!$I$2:$I$100,Cant!$M$2:$M$100,P38,Cant!$J$2:$J$100,"24/1.5"),"")),""))</f>
        <v/>
      </c>
      <c r="R38" s="68" t="str">
        <f t="shared" si="5"/>
        <v/>
      </c>
      <c r="S38" s="31" t="str">
        <f>IF(AND(F38&lt;&gt;"",COUNTIF($F$11:F37,F38)&gt;0),"",IFERROR(IF(AND(R38&lt;&gt;"",SUMIFS(Cant!$I$2:$I$99,Cant!$M$2:$M$99,R38,Cant!$J$2:$J$99,"43/2.0")&gt;0),SUMIFS(Cant!$I$2:$I$99,Cant!$M$2:$M$99,R38,Cant!$J$2:$J$99,"43/2.0"),""),""))</f>
        <v/>
      </c>
    </row>
    <row r="39" spans="1:19" ht="2.1" hidden="1" customHeight="1">
      <c r="F39" s="60"/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61"/>
    </row>
    <row r="40" spans="1:19" ht="15.75" thickBot="1">
      <c r="A40" s="175" t="s">
        <v>50</v>
      </c>
      <c r="B40" s="32" t="s">
        <v>67</v>
      </c>
      <c r="C40" s="32" t="s">
        <v>71</v>
      </c>
      <c r="D40" s="18" t="s">
        <v>51</v>
      </c>
      <c r="F40" s="172" t="s">
        <v>72</v>
      </c>
      <c r="G40" s="173"/>
      <c r="H40" s="173"/>
      <c r="I40" s="173"/>
      <c r="J40" s="173"/>
      <c r="K40" s="173"/>
      <c r="L40" s="173"/>
      <c r="M40" s="173"/>
      <c r="N40" s="173"/>
      <c r="O40" s="173"/>
      <c r="P40" s="173"/>
      <c r="Q40" s="173"/>
      <c r="R40" s="173"/>
      <c r="S40" s="174"/>
    </row>
    <row r="41" spans="1:19" ht="15.75" thickBot="1">
      <c r="A41" s="176"/>
      <c r="B41" s="35" t="s">
        <v>81</v>
      </c>
      <c r="C41" s="29" t="str">
        <f>IF(SUMIF(Taiere!I2:I99,"PAL",Taiere!C2:C99)+SUMIF(Taiere!I2:I99,"DB PAL",Taiere!C2:C99)=0,"",SUMIF(Taiere!I2:I99,"PAL",Taiere!C2:C99)+SUMIF(Taiere!I2:I99,"DB PAL",Taiere!C2:C99))</f>
        <v/>
      </c>
      <c r="D41" s="70" t="s">
        <v>53</v>
      </c>
      <c r="E41" s="2"/>
      <c r="F41" s="72" t="s">
        <v>28</v>
      </c>
      <c r="G41" s="57">
        <f>SUM(G11:G29)+SUM(G32:G38)</f>
        <v>0</v>
      </c>
      <c r="H41" s="51" t="s">
        <v>29</v>
      </c>
      <c r="I41" s="57">
        <f>SUM(I11:I29)+SUM(I32:I38)</f>
        <v>0</v>
      </c>
      <c r="J41" s="26" t="s">
        <v>16</v>
      </c>
      <c r="K41" s="57">
        <f>SUM(K11:K29)+SUM(K32:K38)</f>
        <v>0</v>
      </c>
      <c r="L41" s="19" t="s">
        <v>19</v>
      </c>
      <c r="M41" s="57">
        <f>SUM(M11:M29)+SUM(M32:M38)</f>
        <v>0</v>
      </c>
      <c r="N41" s="46" t="s">
        <v>80</v>
      </c>
      <c r="O41" s="57">
        <f>SUM(O11:O29)+SUM(O32:O38)</f>
        <v>0</v>
      </c>
      <c r="P41" s="45" t="s">
        <v>68</v>
      </c>
      <c r="Q41" s="57">
        <f>SUM(Q11:Q29)+SUM(Q32:Q38)</f>
        <v>0</v>
      </c>
      <c r="R41" s="46" t="s">
        <v>18</v>
      </c>
      <c r="S41" s="57">
        <f>SUM(S11:S29)+SUM(S32:S38)</f>
        <v>0</v>
      </c>
    </row>
    <row r="42" spans="1:19" ht="15.75" thickBot="1">
      <c r="A42" s="176"/>
      <c r="B42" s="49" t="s">
        <v>88</v>
      </c>
      <c r="C42" s="37" t="str">
        <f>IF(SUMIF(Taiere!I2:I99,"CLEAF",Taiere!C2:C99)=0,"",(SUMIF(Taiere!I2:I99,"CLEAF",Taiere!C2:C99)))</f>
        <v/>
      </c>
      <c r="D42" s="71" t="s">
        <v>53</v>
      </c>
      <c r="E42" s="2"/>
      <c r="F42" s="64"/>
      <c r="G42" s="78"/>
      <c r="H42" s="65"/>
      <c r="I42" s="78"/>
      <c r="J42" s="66"/>
      <c r="K42" s="78"/>
      <c r="L42" s="65"/>
      <c r="M42" s="78"/>
      <c r="N42" s="66"/>
      <c r="O42" s="78"/>
      <c r="P42" s="66"/>
      <c r="Q42" s="78"/>
      <c r="R42" s="79"/>
      <c r="S42" s="179">
        <f>IF(COUNTIF(Deco!AA2:AA34,"Vezi EK")&gt;0,0,1)</f>
        <v>1</v>
      </c>
    </row>
    <row r="43" spans="1:19" ht="15.75" thickBot="1">
      <c r="A43" s="176"/>
      <c r="B43" s="49" t="s">
        <v>82</v>
      </c>
      <c r="C43" s="30" t="str">
        <f>IF(SUMIF(B32:B34, "*/600", C32:C34) + SUMIF(B32:B34, "*/650", C32:C34)=0, "",SUMIF(B32:B34, "*/600", C32:C34) + SUMIF(B32:B34, "*/650", C32:C34))</f>
        <v/>
      </c>
      <c r="D43" s="71" t="s">
        <v>54</v>
      </c>
      <c r="E43" s="2"/>
      <c r="F43" s="233" t="str">
        <f>IF(COUNTIF(Deco!AA2:AA34,"Vezi EK")&gt;0,"Atentie! Verifica EK dublaje","Nr. Piese Dublaje")</f>
        <v>Nr. Piese Dublaje</v>
      </c>
      <c r="G43" s="234"/>
      <c r="H43" s="234"/>
      <c r="I43" s="234"/>
      <c r="J43" s="234"/>
      <c r="K43" s="234"/>
      <c r="L43" s="234"/>
      <c r="M43" s="234"/>
      <c r="N43" s="234"/>
      <c r="O43" s="234"/>
      <c r="P43" s="234"/>
      <c r="Q43" s="234"/>
      <c r="R43" s="234"/>
      <c r="S43" s="180"/>
    </row>
    <row r="44" spans="1:19">
      <c r="A44" s="176"/>
      <c r="B44" s="49" t="s">
        <v>87</v>
      </c>
      <c r="C44" s="30" t="str">
        <f>IF(SUMIF(B32:B34, "*/920", C32:C34)=0, "",SUMIF(B32:B34, "*/920", C32:C34))</f>
        <v/>
      </c>
      <c r="D44" s="71" t="s">
        <v>54</v>
      </c>
      <c r="E44" s="2"/>
      <c r="F44" s="24" t="s">
        <v>63</v>
      </c>
      <c r="G44" s="25" t="s">
        <v>71</v>
      </c>
      <c r="H44" s="24" t="s">
        <v>63</v>
      </c>
      <c r="I44" s="25" t="s">
        <v>71</v>
      </c>
      <c r="J44" s="34" t="s">
        <v>63</v>
      </c>
      <c r="K44" s="25" t="s">
        <v>71</v>
      </c>
      <c r="L44" s="34" t="s">
        <v>63</v>
      </c>
      <c r="M44" s="25" t="s">
        <v>71</v>
      </c>
      <c r="N44" s="34" t="s">
        <v>63</v>
      </c>
      <c r="O44" s="25" t="s">
        <v>71</v>
      </c>
      <c r="P44" s="34" t="s">
        <v>63</v>
      </c>
      <c r="Q44" s="25" t="s">
        <v>71</v>
      </c>
      <c r="R44" s="34" t="s">
        <v>63</v>
      </c>
      <c r="S44" s="25" t="s">
        <v>71</v>
      </c>
    </row>
    <row r="45" spans="1:19" ht="15.75" thickBot="1">
      <c r="A45" s="176"/>
      <c r="B45" s="33" t="s">
        <v>89</v>
      </c>
      <c r="C45" s="30" t="str">
        <f>IF(SUM(C36:C38)=0,"",SUM(C36:C38))</f>
        <v/>
      </c>
      <c r="D45" s="71" t="str">
        <f>IF(I3="Mobilier în Roomdesigner", "ml", "buc")</f>
        <v>buc</v>
      </c>
      <c r="E45" s="2"/>
      <c r="F45" s="43" t="str">
        <f>IFERROR(INDEX(
        Deco!$Z$2:$Z$100,
        _xlfn.AGGREGATE(
            15,6,
            ROW(Deco!$Z$2:$Z$100)-ROW(Deco!$Z$2)+1/
            ((Deco!$W$2:$W$100="DB PAL")+(Deco!$W$2:$W$100="DB MDF")),
            1
        )
    ),
    "")</f>
        <v/>
      </c>
      <c r="G45" s="31" t="str">
        <f>IFERROR(IF(F45&lt;&gt;"",INDEX(Deco!$V$2:$V$100,MATCH(F45,Deco!$Z$2:$Z$100,0))*2,""),"")</f>
        <v/>
      </c>
      <c r="H45" s="43" t="str" cm="1">
        <f t="array" ref="H45">IFERROR(_xlfn.SINGLE(INDEX(
        Deco!$Z$2:$Z$100,
        _xlfn.AGGREGATE(
            15,6,
            ROW(Deco!$Z$2:$Z$100)-ROW(Deco!$Z$2)+1/
            ((Deco!$W$2:$W$100="DB PAL")+(Deco!$W$2:$W$100="DB MDF")),
            2
        )
    )),
    "")</f>
        <v/>
      </c>
      <c r="I45" s="31" t="str">
        <f>IFERROR(IF(H45&lt;&gt;"",INDEX(Deco!$V$2:$V$100,MATCH(H45,Deco!$Z$2:$Z$100,0))*2,""),"")</f>
        <v/>
      </c>
      <c r="J45" s="68" t="str" cm="1">
        <f t="array" ref="J45">IFERROR(_xlfn.SINGLE(INDEX(
        Deco!$Z$2:$Z$100,
        _xlfn.AGGREGATE(
            15,6,
            ROW(Deco!$Z$2:$Z$100)-ROW(Deco!$Z$2)+1/
            ((Deco!$W$2:$W$100="DB PAL")+(Deco!$W$2:$W$100="DB MDF")),
            3
        )
    )),
    "")</f>
        <v/>
      </c>
      <c r="K45" s="31" t="str">
        <f>IFERROR(IF(J45&lt;&gt;"",INDEX(Deco!$V$2:$V$100,MATCH(J45,Deco!$Z$2:$Z$100,0))*2,""),"")</f>
        <v/>
      </c>
      <c r="L45" s="68" t="str" cm="1">
        <f t="array" ref="L45">IFERROR(_xlfn.SINGLE(INDEX(
        Deco!$Z$2:$Z$100,
        _xlfn.AGGREGATE(
            15,6,
            ROW(Deco!$Z$2:$Z$100)-ROW(Deco!$Z$2)+1/
            ((Deco!$W$2:$W$100="DB PAL")+(Deco!$W$2:$W$100="DB MDF")),
            4
        )
    )),
    "")</f>
        <v/>
      </c>
      <c r="M45" s="31" t="str">
        <f>IFERROR(IF(L45&lt;&gt;"",INDEX(Deco!$V$2:$V$100,MATCH(L45,Deco!$Z$2:$Z$100,0))*2,""),"")</f>
        <v/>
      </c>
      <c r="N45" s="68" t="str" cm="1">
        <f t="array" ref="N45">IFERROR(_xlfn.SINGLE(INDEX(
        Deco!$Z$2:$Z$100,
        _xlfn.AGGREGATE(
            15,6,
            ROW(Deco!$Z$2:$Z$100)-ROW(Deco!$Z$2)+1/
            ((Deco!$W$2:$W$100="DB PAL")+(Deco!$W$2:$W$100="DB MDF")),
            5
        )
    )),
    "")</f>
        <v/>
      </c>
      <c r="O45" s="31" t="str">
        <f>IFERROR(IF(N45&lt;&gt;"",INDEX(Deco!$V$2:$V$100,MATCH(N45,Deco!$Z$2:$Z$100,0))*2,""),"")</f>
        <v/>
      </c>
      <c r="P45" s="68" t="str" cm="1">
        <f t="array" ref="P45">IFERROR(_xlfn.SINGLE(INDEX(
        Deco!$Z$2:$Z$100,
        _xlfn.AGGREGATE(
            15,6,
            ROW(Deco!$Z$2:$Z$100)-ROW(Deco!$Z$2)+1/
            ((Deco!$W$2:$W$100="DB PAL")+(Deco!$W$2:$W$100="DB MDF")),
            6
        )
    )),
    "")</f>
        <v/>
      </c>
      <c r="Q45" s="31" t="str">
        <f>IFERROR(IF(P45&lt;&gt;"",INDEX(Deco!$V$2:$V$100,MATCH(P45,Deco!$Z$2:$Z$100,0))*2,""),"")</f>
        <v/>
      </c>
      <c r="R45" s="68" t="str" cm="1">
        <f t="array" ref="R45">IFERROR(_xlfn.SINGLE(INDEX(
        Deco!$Z$2:$Z$100,
        _xlfn.AGGREGATE(
            15,6,
            ROW(Deco!$Z$2:$Z$100)-ROW(Deco!$Z$2)+1/
            ((Deco!$W$2:$W$100="DB PAL")+(Deco!$W$2:$W$100="DB MDF")),
            7
        )
    )),
    "")</f>
        <v/>
      </c>
      <c r="S45" s="44" t="str">
        <f>IFERROR(IF(R45&lt;&gt;"",INDEX(Deco!$V$2:$V$100,MATCH(R45,Deco!$Z$2:$Z$100,0))*2,""),"")</f>
        <v/>
      </c>
    </row>
    <row r="46" spans="1:19" ht="15.75" thickBot="1">
      <c r="A46" s="176"/>
      <c r="B46" s="33" t="s">
        <v>83</v>
      </c>
      <c r="C46" s="30" t="str">
        <f>IF(B30&lt;&gt;"",INDEX(Deco!$C$2:$C$99,MATCH(B30,Deco!$Y$2:$Y$99,0)),"")</f>
        <v/>
      </c>
      <c r="D46" s="71" t="s">
        <v>54</v>
      </c>
      <c r="E46" s="2"/>
    </row>
    <row r="47" spans="1:19">
      <c r="A47" s="176"/>
      <c r="B47" s="33" t="s">
        <v>84</v>
      </c>
      <c r="C47" s="30" t="str">
        <f>IF(SUMIF(Taiere!I2:I99, "MDF", Taiere!C2:C99)+SUMIF(Taiere!I2:I99, "DB MDF", Taiere!C2:C99)=0,"",SUMIF(Taiere!I2:I99, "MDF", Taiere!C2:C99)+SUMIF(Taiere!I2:I99, "DB MDF", Taiere!C2:C99))</f>
        <v/>
      </c>
      <c r="D47" s="71" t="s">
        <v>53</v>
      </c>
      <c r="F47" s="179" t="s">
        <v>34</v>
      </c>
      <c r="G47" s="221" t="str">
        <f>IF(I6="PLAN M",SUM(C11:C28), "N/A")</f>
        <v>N/A</v>
      </c>
      <c r="J47" s="179" t="s">
        <v>86</v>
      </c>
      <c r="K47" s="219">
        <v>1</v>
      </c>
      <c r="N47" s="179" t="s">
        <v>108</v>
      </c>
      <c r="O47" s="182"/>
      <c r="P47" s="183"/>
      <c r="R47" s="179" t="s">
        <v>114</v>
      </c>
      <c r="S47" s="179"/>
    </row>
    <row r="48" spans="1:19" ht="15.75" thickBot="1">
      <c r="A48" s="178"/>
      <c r="B48" s="36" t="s">
        <v>85</v>
      </c>
      <c r="C48" s="31" t="str">
        <f>IF(SUMIF(Deco!W2:W99, "DB PAL", Deco!V2:V99)+SUMIF(Deco!W2:W99, "DB MDF", Deco!V2:V99)=0, "",SUMIF(Deco!W2:W99, "DB PAL", Deco!V2:V99)+SUMIF(Deco!W2:W99, "DB MDF", Deco!V2:V99))</f>
        <v/>
      </c>
      <c r="D48" s="69" t="s">
        <v>54</v>
      </c>
      <c r="F48" s="181"/>
      <c r="G48" s="222"/>
      <c r="J48" s="181"/>
      <c r="K48" s="220"/>
      <c r="N48" s="180"/>
      <c r="O48" s="184"/>
      <c r="P48" s="185"/>
      <c r="R48" s="180"/>
      <c r="S48" s="181"/>
    </row>
    <row r="49" spans="1:19" ht="2.1" hidden="1" customHeight="1">
      <c r="A49" s="40"/>
      <c r="B49" s="41"/>
      <c r="C49" s="1"/>
      <c r="D49" s="2"/>
    </row>
    <row r="50" spans="1:19">
      <c r="A50" s="162" t="s">
        <v>65</v>
      </c>
      <c r="B50" s="134"/>
      <c r="C50" s="135"/>
      <c r="D50" s="135"/>
      <c r="E50" s="135"/>
      <c r="F50" s="135"/>
      <c r="G50" s="135"/>
      <c r="H50" s="135"/>
      <c r="I50" s="135"/>
      <c r="J50" s="135"/>
      <c r="K50" s="135"/>
      <c r="L50" s="135"/>
      <c r="M50" s="135"/>
      <c r="N50" s="135"/>
      <c r="O50" s="135"/>
      <c r="P50" s="135"/>
      <c r="Q50" s="135"/>
      <c r="R50" s="135"/>
      <c r="S50" s="136"/>
    </row>
    <row r="51" spans="1:19">
      <c r="A51" s="163"/>
      <c r="B51" s="137"/>
      <c r="C51" s="139"/>
      <c r="D51" s="139"/>
      <c r="E51" s="139"/>
      <c r="F51" s="139"/>
      <c r="G51" s="139"/>
      <c r="H51" s="139"/>
      <c r="I51" s="139"/>
      <c r="J51" s="139"/>
      <c r="K51" s="139"/>
      <c r="L51" s="139"/>
      <c r="M51" s="139"/>
      <c r="N51" s="139"/>
      <c r="O51" s="139"/>
      <c r="P51" s="139"/>
      <c r="Q51" s="139"/>
      <c r="R51" s="139"/>
      <c r="S51" s="138"/>
    </row>
    <row r="52" spans="1:19">
      <c r="A52" s="163"/>
      <c r="B52" s="137"/>
      <c r="C52" s="139"/>
      <c r="D52" s="139"/>
      <c r="E52" s="139"/>
      <c r="F52" s="139"/>
      <c r="G52" s="139"/>
      <c r="H52" s="139"/>
      <c r="I52" s="139"/>
      <c r="J52" s="139"/>
      <c r="K52" s="139"/>
      <c r="L52" s="139"/>
      <c r="M52" s="139"/>
      <c r="N52" s="139"/>
      <c r="O52" s="139"/>
      <c r="P52" s="139"/>
      <c r="Q52" s="139"/>
      <c r="R52" s="139"/>
      <c r="S52" s="138"/>
    </row>
    <row r="53" spans="1:19">
      <c r="A53" s="163"/>
      <c r="B53" s="137"/>
      <c r="C53" s="139"/>
      <c r="D53" s="139"/>
      <c r="E53" s="139"/>
      <c r="F53" s="139"/>
      <c r="G53" s="139"/>
      <c r="H53" s="139"/>
      <c r="I53" s="139"/>
      <c r="J53" s="139"/>
      <c r="K53" s="139"/>
      <c r="L53" s="139"/>
      <c r="M53" s="139"/>
      <c r="N53" s="139"/>
      <c r="O53" s="139"/>
      <c r="P53" s="139"/>
      <c r="Q53" s="139"/>
      <c r="R53" s="139"/>
      <c r="S53" s="138"/>
    </row>
    <row r="54" spans="1:19">
      <c r="A54" s="163"/>
      <c r="B54" s="137"/>
      <c r="C54" s="139"/>
      <c r="D54" s="139"/>
      <c r="E54" s="139"/>
      <c r="F54" s="139"/>
      <c r="G54" s="139"/>
      <c r="H54" s="139"/>
      <c r="I54" s="139"/>
      <c r="J54" s="139"/>
      <c r="K54" s="139"/>
      <c r="L54" s="139"/>
      <c r="M54" s="139"/>
      <c r="N54" s="139"/>
      <c r="O54" s="139"/>
      <c r="P54" s="139"/>
      <c r="Q54" s="139"/>
      <c r="R54" s="139"/>
      <c r="S54" s="138"/>
    </row>
    <row r="55" spans="1:19">
      <c r="A55" s="163"/>
      <c r="B55" s="137"/>
      <c r="C55" s="139"/>
      <c r="D55" s="139"/>
      <c r="E55" s="139"/>
      <c r="F55" s="139"/>
      <c r="G55" s="139"/>
      <c r="H55" s="139"/>
      <c r="I55" s="139"/>
      <c r="J55" s="139"/>
      <c r="K55" s="139"/>
      <c r="L55" s="139"/>
      <c r="M55" s="139"/>
      <c r="N55" s="139"/>
      <c r="O55" s="139"/>
      <c r="P55" s="139"/>
      <c r="Q55" s="139"/>
      <c r="R55" s="139"/>
      <c r="S55" s="138"/>
    </row>
    <row r="56" spans="1:19">
      <c r="A56" s="163"/>
      <c r="B56" s="137"/>
      <c r="C56" s="139"/>
      <c r="D56" s="139"/>
      <c r="E56" s="139"/>
      <c r="F56" s="139"/>
      <c r="G56" s="139"/>
      <c r="H56" s="139"/>
      <c r="I56" s="139"/>
      <c r="J56" s="139"/>
      <c r="K56" s="139"/>
      <c r="L56" s="139"/>
      <c r="M56" s="139"/>
      <c r="N56" s="139"/>
      <c r="O56" s="139"/>
      <c r="P56" s="139"/>
      <c r="Q56" s="139"/>
      <c r="R56" s="139"/>
      <c r="S56" s="138"/>
    </row>
    <row r="57" spans="1:19">
      <c r="A57" s="163"/>
      <c r="B57" s="137"/>
      <c r="C57" s="139"/>
      <c r="D57" s="139"/>
      <c r="E57" s="139"/>
      <c r="F57" s="139"/>
      <c r="G57" s="139"/>
      <c r="H57" s="139"/>
      <c r="I57" s="139"/>
      <c r="J57" s="139"/>
      <c r="K57" s="139"/>
      <c r="L57" s="139"/>
      <c r="M57" s="139"/>
      <c r="N57" s="139"/>
      <c r="O57" s="139"/>
      <c r="P57" s="139"/>
      <c r="Q57" s="139"/>
      <c r="R57" s="139"/>
      <c r="S57" s="138"/>
    </row>
    <row r="58" spans="1:19">
      <c r="A58" s="163"/>
      <c r="B58" s="140"/>
      <c r="S58" s="141"/>
    </row>
    <row r="59" spans="1:19">
      <c r="A59" s="163"/>
      <c r="B59" s="140"/>
      <c r="S59" s="141"/>
    </row>
    <row r="60" spans="1:19">
      <c r="A60" s="163"/>
      <c r="B60" s="140"/>
      <c r="S60" s="141"/>
    </row>
    <row r="61" spans="1:19">
      <c r="A61" s="163"/>
      <c r="B61" s="140"/>
      <c r="S61" s="141"/>
    </row>
    <row r="62" spans="1:19">
      <c r="A62" s="163"/>
      <c r="B62" s="140"/>
      <c r="S62" s="141"/>
    </row>
    <row r="63" spans="1:19">
      <c r="A63" s="163"/>
      <c r="B63" s="140"/>
      <c r="S63" s="141"/>
    </row>
    <row r="64" spans="1:19">
      <c r="A64" s="163"/>
      <c r="B64" s="140"/>
      <c r="S64" s="141"/>
    </row>
    <row r="65" spans="1:19">
      <c r="A65" s="163"/>
      <c r="B65" s="140"/>
      <c r="S65" s="141"/>
    </row>
    <row r="66" spans="1:19">
      <c r="A66" s="163"/>
      <c r="B66" s="140"/>
      <c r="S66" s="141"/>
    </row>
    <row r="67" spans="1:19">
      <c r="A67" s="163"/>
      <c r="B67" s="140"/>
      <c r="S67" s="141"/>
    </row>
    <row r="68" spans="1:19" ht="15.75" thickBot="1">
      <c r="A68" s="164"/>
      <c r="B68" s="142"/>
      <c r="C68" s="77"/>
      <c r="D68" s="77"/>
      <c r="E68" s="77"/>
      <c r="F68" s="77"/>
      <c r="G68" s="77"/>
      <c r="H68" s="77"/>
      <c r="I68" s="77"/>
      <c r="J68" s="77"/>
      <c r="K68" s="77"/>
      <c r="L68" s="77"/>
      <c r="M68" s="77"/>
      <c r="N68" s="77"/>
      <c r="O68" s="77"/>
      <c r="P68" s="77"/>
      <c r="Q68" s="77"/>
      <c r="R68" s="77"/>
      <c r="S68" s="143"/>
    </row>
  </sheetData>
  <mergeCells count="41">
    <mergeCell ref="J47:J48"/>
    <mergeCell ref="K47:K48"/>
    <mergeCell ref="G47:G48"/>
    <mergeCell ref="B6:D6"/>
    <mergeCell ref="I6:K6"/>
    <mergeCell ref="A8:D9"/>
    <mergeCell ref="F43:R43"/>
    <mergeCell ref="P9:Q9"/>
    <mergeCell ref="N9:O9"/>
    <mergeCell ref="F8:S8"/>
    <mergeCell ref="R9:S9"/>
    <mergeCell ref="L9:M9"/>
    <mergeCell ref="B4:D4"/>
    <mergeCell ref="I4:K4"/>
    <mergeCell ref="O1:S1"/>
    <mergeCell ref="O2:S2"/>
    <mergeCell ref="O6:S6"/>
    <mergeCell ref="A1:L1"/>
    <mergeCell ref="O3:S3"/>
    <mergeCell ref="O4:S4"/>
    <mergeCell ref="O5:S5"/>
    <mergeCell ref="B3:D3"/>
    <mergeCell ref="B5:D5"/>
    <mergeCell ref="I5:K5"/>
    <mergeCell ref="I3:K3"/>
    <mergeCell ref="A50:A68"/>
    <mergeCell ref="A32:A34"/>
    <mergeCell ref="A36:A38"/>
    <mergeCell ref="J9:K9"/>
    <mergeCell ref="F9:G9"/>
    <mergeCell ref="F40:S40"/>
    <mergeCell ref="A10:A22"/>
    <mergeCell ref="A24:A28"/>
    <mergeCell ref="A40:A48"/>
    <mergeCell ref="R47:R48"/>
    <mergeCell ref="S47:S48"/>
    <mergeCell ref="S42:S43"/>
    <mergeCell ref="N47:N48"/>
    <mergeCell ref="O47:P48"/>
    <mergeCell ref="H9:I9"/>
    <mergeCell ref="F47:F48"/>
  </mergeCells>
  <phoneticPr fontId="10" type="noConversion"/>
  <pageMargins left="0.7" right="0.7" top="0.75" bottom="0.75" header="0.3" footer="0.3"/>
  <pageSetup paperSize="9" scale="54" orientation="landscape" horizontalDpi="300" verticalDpi="30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C6EF9909-F153-4D59-8F12-E8C9F6355E3F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TrafficLights1" iconId="2"/>
            </x14:iconSet>
          </x14:cfRule>
          <xm:sqref>S42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8352AD92-AE48-443F-8268-FEC6552ABA57}">
          <x14:formula1>
            <xm:f>Parametri!$A:$A</xm:f>
          </x14:formula1>
          <xm:sqref>I5</xm:sqref>
        </x14:dataValidation>
        <x14:dataValidation type="list" allowBlank="1" showInputMessage="1" showErrorMessage="1" xr:uid="{19BDFAE0-0905-4F5F-AB34-878140BB3CD8}">
          <x14:formula1>
            <xm:f>Parametri!$B:$B</xm:f>
          </x14:formula1>
          <xm:sqref>I4</xm:sqref>
        </x14:dataValidation>
        <x14:dataValidation type="list" allowBlank="1" showInputMessage="1" showErrorMessage="1" xr:uid="{FB7D4D4D-4A29-4F9D-9357-489C74D1C2D9}">
          <x14:formula1>
            <xm:f>Parametri!$C:$C</xm:f>
          </x14:formula1>
          <xm:sqref>I3</xm:sqref>
        </x14:dataValidation>
        <x14:dataValidation type="list" allowBlank="1" showInputMessage="1" showErrorMessage="1" xr:uid="{C3AD5DB1-74C0-4F5A-9512-1809037BAE11}">
          <x14:formula1>
            <xm:f>Parametri!$D:$D</xm:f>
          </x14:formula1>
          <xm:sqref>I6</xm:sqref>
        </x14:dataValidation>
        <x14:dataValidation type="list" allowBlank="1" showInputMessage="1" showErrorMessage="1" xr:uid="{BABCA661-4237-4EAF-A0C6-84588DEB0925}">
          <x14:formula1>
            <xm:f>Parametri!$E:$E</xm:f>
          </x14:formula1>
          <xm:sqref>O2:O6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73F4C-A425-4E60-8EFD-1DDD408CF0AE}">
  <dimension ref="A1:F202"/>
  <sheetViews>
    <sheetView topLeftCell="A67" workbookViewId="0">
      <selection activeCell="A87" sqref="A87"/>
    </sheetView>
  </sheetViews>
  <sheetFormatPr defaultRowHeight="15"/>
  <cols>
    <col min="1" max="1" width="21" bestFit="1" customWidth="1"/>
    <col min="4" max="4" width="18.7109375" bestFit="1" customWidth="1"/>
    <col min="5" max="5" width="9.140625" style="102"/>
  </cols>
  <sheetData>
    <row r="1" spans="1:6">
      <c r="A1" t="s">
        <v>17</v>
      </c>
      <c r="B1" t="s">
        <v>3</v>
      </c>
    </row>
    <row r="2" spans="1:6">
      <c r="A2" t="str">
        <f>Fisa!B11</f>
        <v/>
      </c>
      <c r="B2" t="str">
        <f>Fisa!C11</f>
        <v/>
      </c>
      <c r="C2" t="str">
        <f>_xlfn.CONCAT(Fisa!D11)</f>
        <v>mp</v>
      </c>
      <c r="D2" t="str">
        <f>CONCATENATE(A2," ",F2)</f>
        <v xml:space="preserve"> mp</v>
      </c>
      <c r="E2" s="102" t="str" cm="1">
        <f t="array" ref="E2">IF(Fisa!I3="Debitare căntuire",IF(LEFT(Fisa!B11,3)="AGT",B2*3.416, IF(OR(RIGHT(Fisa!B11,1)={"0","1","2","3","4","5","6","7","8","9"},RIGHT(Fisa!B11,2)="SM",RIGHT(Fisa!B11,2)="PM",RIGHT(Fisa!B11,2)="PG",RIGHT(Fisa!B11,2)="mm",,RIGHT(Fisa!B11,2)="PG",RIGHT(Fisa!B11,2)="3D"), B2*5.796, B2)),B2)</f>
        <v/>
      </c>
      <c r="F2" t="s">
        <v>52</v>
      </c>
    </row>
    <row r="3" spans="1:6">
      <c r="A3" t="str">
        <f>Fisa!B12</f>
        <v/>
      </c>
      <c r="B3" t="str">
        <f>Fisa!C12</f>
        <v/>
      </c>
      <c r="C3" t="str">
        <f>_xlfn.CONCAT(Fisa!D12)</f>
        <v>mp</v>
      </c>
      <c r="D3" t="str">
        <f t="shared" ref="D3:D24" si="0">CONCATENATE(A3," ",F3)</f>
        <v xml:space="preserve"> mp</v>
      </c>
      <c r="E3" s="102" t="str" cm="1">
        <f t="array" ref="E3">IF(Fisa!I3="Debitare căntuire",IF(LEFT(Fisa!B12,3)="AGT",B3*3.416, IF(OR(RIGHT(Fisa!B12,1)={"0","1","2","3","4","5","6","7","8","9"},RIGHT(Fisa!B12,2)="SM",RIGHT(Fisa!B12,2)="PM",RIGHT(Fisa!B12,2)="PG",RIGHT(Fisa!B12,2)="mm",,RIGHT(Fisa!B12,2)="PG",RIGHT(Fisa!B12,2)="3D"), B3*5.796, B3)),B3)</f>
        <v/>
      </c>
      <c r="F3" t="s">
        <v>52</v>
      </c>
    </row>
    <row r="4" spans="1:6">
      <c r="A4" t="str">
        <f>Fisa!B13</f>
        <v/>
      </c>
      <c r="B4" t="str">
        <f>Fisa!C13</f>
        <v/>
      </c>
      <c r="C4" t="str">
        <f>_xlfn.CONCAT(Fisa!D13)</f>
        <v>mp</v>
      </c>
      <c r="D4" t="str">
        <f t="shared" si="0"/>
        <v xml:space="preserve"> mp</v>
      </c>
      <c r="E4" s="102" t="str" cm="1">
        <f t="array" ref="E4">IF(Fisa!I3="Debitare căntuire",IF(LEFT(Fisa!B13,3)="AGT",B4*3.416, IF(OR(RIGHT(Fisa!B13,1)={"0","1","2","3","4","5","6","7","8","9"},RIGHT(Fisa!B13,2)="SM",RIGHT(Fisa!B13,2)="PM",RIGHT(Fisa!B13,2)="PG",RIGHT(Fisa!B13,2)="mm",,RIGHT(Fisa!B13,2)="PG",RIGHT(Fisa!B13,2)="3D"), B4*5.796, B4)),B4)</f>
        <v/>
      </c>
      <c r="F4" t="s">
        <v>52</v>
      </c>
    </row>
    <row r="5" spans="1:6">
      <c r="A5" t="str">
        <f>Fisa!B14</f>
        <v/>
      </c>
      <c r="B5" t="str">
        <f>Fisa!C14</f>
        <v/>
      </c>
      <c r="C5" t="str">
        <f>_xlfn.CONCAT(Fisa!D14)</f>
        <v>mp</v>
      </c>
      <c r="D5" t="str">
        <f t="shared" si="0"/>
        <v xml:space="preserve"> mp</v>
      </c>
      <c r="E5" s="102" t="str" cm="1">
        <f t="array" ref="E5">IF(Fisa!I3="Debitare căntuire",IF(LEFT(Fisa!B14,3)="AGT",B5*3.416, IF(OR(RIGHT(Fisa!B14,1)={"0","1","2","3","4","5","6","7","8","9"},RIGHT(Fisa!B14,2)="SM",RIGHT(Fisa!B14,2)="PM",RIGHT(Fisa!B14,2)="PG",RIGHT(Fisa!B14,2)="mm",,RIGHT(Fisa!B14,2)="PG",RIGHT(Fisa!B14,2)="3D"), B5*5.796, B5)),B5)</f>
        <v/>
      </c>
      <c r="F5" t="s">
        <v>52</v>
      </c>
    </row>
    <row r="6" spans="1:6">
      <c r="A6" t="str">
        <f>Fisa!B15</f>
        <v/>
      </c>
      <c r="B6" t="str">
        <f>Fisa!C15</f>
        <v/>
      </c>
      <c r="C6" t="str">
        <f>_xlfn.CONCAT(Fisa!D15)</f>
        <v>mp</v>
      </c>
      <c r="D6" t="str">
        <f t="shared" si="0"/>
        <v xml:space="preserve"> mp</v>
      </c>
      <c r="E6" s="102" t="str" cm="1">
        <f t="array" ref="E6">IF(Fisa!I3="Debitare căntuire",IF(LEFT(Fisa!B15,3)="AGT",B6*3.416, IF(OR(RIGHT(Fisa!B15,1)={"0","1","2","3","4","5","6","7","8","9"},RIGHT(Fisa!B15,2)="SM",RIGHT(Fisa!B15,2)="PM",RIGHT(Fisa!B15,2)="PG",RIGHT(Fisa!B15,2)="mm",,RIGHT(Fisa!B15,2)="PG",RIGHT(Fisa!B15,2)="3D"), B6*5.796, B6)),B6)</f>
        <v/>
      </c>
      <c r="F6" t="s">
        <v>52</v>
      </c>
    </row>
    <row r="7" spans="1:6">
      <c r="A7" t="str">
        <f>Fisa!B16</f>
        <v/>
      </c>
      <c r="B7" t="str">
        <f>Fisa!C16</f>
        <v/>
      </c>
      <c r="C7" t="str">
        <f>_xlfn.CONCAT(Fisa!D16)</f>
        <v>mp</v>
      </c>
      <c r="D7" t="str">
        <f t="shared" si="0"/>
        <v xml:space="preserve"> mp</v>
      </c>
      <c r="E7" s="102" t="str" cm="1">
        <f t="array" ref="E7">IF(Fisa!I3="Debitare căntuire",IF(LEFT(Fisa!B16,3)="AGT",B7*3.416, IF(OR(RIGHT(Fisa!B16,1)={"0","1","2","3","4","5","6","7","8","9"},RIGHT(Fisa!B16,2)="SM",RIGHT(Fisa!B16,2)="PM",RIGHT(Fisa!B16,2)="PG",RIGHT(Fisa!B16,2)="mm",,RIGHT(Fisa!B16,2)="PG",RIGHT(Fisa!B16,2)="3D"), B7*5.796, B7)),B7)</f>
        <v/>
      </c>
      <c r="F7" t="s">
        <v>52</v>
      </c>
    </row>
    <row r="8" spans="1:6">
      <c r="A8" t="str">
        <f>Fisa!B17</f>
        <v/>
      </c>
      <c r="B8" t="str">
        <f>Fisa!C17</f>
        <v/>
      </c>
      <c r="C8" t="str">
        <f>_xlfn.CONCAT(Fisa!D17)</f>
        <v>mp</v>
      </c>
      <c r="D8" t="str">
        <f t="shared" si="0"/>
        <v xml:space="preserve"> mp</v>
      </c>
      <c r="E8" s="102" t="str" cm="1">
        <f t="array" ref="E8">IF(Fisa!I3="Debitare căntuire",IF(LEFT(Fisa!B17,3)="AGT",B8*3.416, IF(OR(RIGHT(Fisa!B17,1)={"0","1","2","3","4","5","6","7","8","9"},RIGHT(Fisa!B17,2)="SM",RIGHT(Fisa!B17,2)="PM",RIGHT(Fisa!B17,2)="PG",RIGHT(Fisa!B17,2)="mm",,RIGHT(Fisa!B17,2)="PG",RIGHT(Fisa!B17,2)="3D"), B8*5.796, B8)),B8)</f>
        <v/>
      </c>
      <c r="F8" t="s">
        <v>52</v>
      </c>
    </row>
    <row r="9" spans="1:6">
      <c r="A9" t="str">
        <f>Fisa!B18</f>
        <v/>
      </c>
      <c r="B9" t="str">
        <f>Fisa!C18</f>
        <v/>
      </c>
      <c r="C9" t="str">
        <f>_xlfn.CONCAT(Fisa!D18)</f>
        <v>mp</v>
      </c>
      <c r="D9" t="str">
        <f t="shared" si="0"/>
        <v xml:space="preserve"> mp</v>
      </c>
      <c r="E9" s="102" t="str" cm="1">
        <f t="array" ref="E9">IF(Fisa!I3="Debitare căntuire",IF(LEFT(Fisa!B18,3)="AGT",B9*3.416, IF(OR(RIGHT(Fisa!B18,1)={"0","1","2","3","4","5","6","7","8","9"},RIGHT(Fisa!B18,2)="SM",RIGHT(Fisa!B18,2)="PM",RIGHT(Fisa!B18,2)="PG",RIGHT(Fisa!B18,2)="mm",,RIGHT(Fisa!B18,2)="PG",RIGHT(Fisa!B18,2)="3D"), B9*5.796, B9)),B9)</f>
        <v/>
      </c>
      <c r="F9" t="s">
        <v>52</v>
      </c>
    </row>
    <row r="10" spans="1:6">
      <c r="A10" t="str">
        <f>Fisa!B19</f>
        <v/>
      </c>
      <c r="B10" t="str">
        <f>Fisa!C19</f>
        <v/>
      </c>
      <c r="C10" t="str">
        <f>_xlfn.CONCAT(Fisa!D19)</f>
        <v>mp</v>
      </c>
      <c r="D10" t="str">
        <f t="shared" si="0"/>
        <v xml:space="preserve"> mp</v>
      </c>
      <c r="E10" s="102" t="str" cm="1">
        <f t="array" ref="E10">IF(Fisa!I3="Debitare căntuire",IF(LEFT(Fisa!B19,3)="AGT",B10*3.416, IF(OR(RIGHT(Fisa!B19,1)={"0","1","2","3","4","5","6","7","8","9"},RIGHT(Fisa!B19,2)="SM",RIGHT(Fisa!B19,2)="PM",RIGHT(Fisa!B19,2)="PG",RIGHT(Fisa!B19,2)="mm",,RIGHT(Fisa!B19,2)="PG",RIGHT(Fisa!B19,2)="3D"), B10*5.796, B10)),B10)</f>
        <v/>
      </c>
      <c r="F10" t="s">
        <v>52</v>
      </c>
    </row>
    <row r="11" spans="1:6">
      <c r="A11" t="str">
        <f>Fisa!B20</f>
        <v/>
      </c>
      <c r="B11" t="str">
        <f>Fisa!C20</f>
        <v/>
      </c>
      <c r="C11" t="str">
        <f>_xlfn.CONCAT(Fisa!D20)</f>
        <v>mp</v>
      </c>
      <c r="D11" t="str">
        <f t="shared" si="0"/>
        <v xml:space="preserve"> mp</v>
      </c>
      <c r="E11" s="102" t="str" cm="1">
        <f t="array" ref="E11">IF(Fisa!I3="Debitare căntuire",IF(LEFT(Fisa!B20,3)="AGT",B11*3.416, IF(OR(RIGHT(Fisa!B20,1)={"0","1","2","3","4","5","6","7","8","9"},RIGHT(Fisa!B20,2)="SM",RIGHT(Fisa!B20,2)="PM",RIGHT(Fisa!B20,2)="PG",RIGHT(Fisa!B20,2)="mm",,RIGHT(Fisa!B20,2)="PG",RIGHT(Fisa!B20,2)="3D"), B11*5.796, B11)),B11)</f>
        <v/>
      </c>
      <c r="F11" t="s">
        <v>52</v>
      </c>
    </row>
    <row r="12" spans="1:6">
      <c r="A12" t="str">
        <f>Fisa!B21</f>
        <v/>
      </c>
      <c r="B12" t="str">
        <f>Fisa!C21</f>
        <v/>
      </c>
      <c r="C12" t="str">
        <f>_xlfn.CONCAT(Fisa!D21)</f>
        <v>mp</v>
      </c>
      <c r="D12" t="str">
        <f t="shared" si="0"/>
        <v xml:space="preserve"> mp</v>
      </c>
      <c r="E12" s="102" t="str" cm="1">
        <f t="array" ref="E12">IF(Fisa!I3="Debitare căntuire",IF(LEFT(Fisa!B21,3)="AGT",B12*3.416, IF(OR(RIGHT(Fisa!B21,1)={"0","1","2","3","4","5","6","7","8","9"},RIGHT(Fisa!B21,2)="SM",RIGHT(Fisa!B21,2)="PM",RIGHT(Fisa!B21,2)="PG",RIGHT(Fisa!B21,2)="mm",,RIGHT(Fisa!B21,2)="PG",RIGHT(Fisa!B21,2)="3D"), B12*5.796, B12)),B12)</f>
        <v/>
      </c>
      <c r="F12" t="s">
        <v>52</v>
      </c>
    </row>
    <row r="13" spans="1:6">
      <c r="A13" t="str">
        <f>Fisa!B22</f>
        <v/>
      </c>
      <c r="B13" t="str">
        <f>Fisa!C22</f>
        <v/>
      </c>
      <c r="C13" t="str">
        <f>_xlfn.CONCAT(Fisa!D22)</f>
        <v>mp</v>
      </c>
      <c r="D13" t="str">
        <f t="shared" si="0"/>
        <v xml:space="preserve"> mp</v>
      </c>
      <c r="E13" s="102" t="str" cm="1">
        <f t="array" ref="E13">IF(Fisa!I3="Debitare căntuire",IF(LEFT(Fisa!B22,3)="AGT",B13*3.416, IF(OR(RIGHT(Fisa!B22,1)={"0","1","2","3","4","5","6","7","8","9"},RIGHT(Fisa!B22,2)="SM",RIGHT(Fisa!B22,2)="PM",RIGHT(Fisa!B22,2)="PG",RIGHT(Fisa!B22,2)="mm",,RIGHT(Fisa!B22,2)="PG",RIGHT(Fisa!B22,2)="3D"), B13*5.796, B13)),B13)</f>
        <v/>
      </c>
      <c r="F13" t="s">
        <v>52</v>
      </c>
    </row>
    <row r="14" spans="1:6">
      <c r="A14" t="str">
        <f>IF(Fisa!B24="","",IF(RIGHT(Fisa!B24,2)="3D",Fisa!B24,"MDF "&amp;Fisa!B24))</f>
        <v/>
      </c>
      <c r="B14" t="str">
        <f>Fisa!C24</f>
        <v/>
      </c>
      <c r="C14" t="str">
        <f>_xlfn.CONCAT(Fisa!D24)</f>
        <v>mp</v>
      </c>
      <c r="D14" t="str">
        <f t="shared" si="0"/>
        <v xml:space="preserve"> mp</v>
      </c>
      <c r="E14" s="102" t="str" cm="1">
        <f t="array" ref="E14">IF(Fisa!I3="Debitare căntuire",IF(LEFT(Fisa!B24,3)="AGT",B14*3.416, IF(OR(RIGHT(Fisa!B24,1)={"0","1","2","3","4","5","6","7","8","9"},RIGHT(Fisa!B24,2)="SM",RIGHT(Fisa!B24,2)="PM",RIGHT(Fisa!B24,2)="PG",RIGHT(Fisa!B24,2)="mm",,RIGHT(Fisa!B24,2)="PG",RIGHT(Fisa!B24,2)="3D"), B14*5.796, B14)),B14)</f>
        <v/>
      </c>
      <c r="F14" t="s">
        <v>52</v>
      </c>
    </row>
    <row r="15" spans="1:6">
      <c r="A15" t="str">
        <f>IF(Fisa!B25="","",IF(RIGHT(Fisa!B25,2)="3D",Fisa!B25,"MDF "&amp;Fisa!B25))</f>
        <v/>
      </c>
      <c r="B15" t="str">
        <f>Fisa!C25</f>
        <v/>
      </c>
      <c r="C15" t="str">
        <f>_xlfn.CONCAT(Fisa!D25)</f>
        <v>mp</v>
      </c>
      <c r="D15" t="str">
        <f t="shared" si="0"/>
        <v xml:space="preserve"> mp</v>
      </c>
      <c r="E15" s="102" t="str" cm="1">
        <f t="array" ref="E15">IF(Fisa!I3="Debitare căntuire",IF(LEFT(Fisa!B25,3)="AGT",B15*3.416, IF(OR(RIGHT(Fisa!B25,1)={"0","1","2","3","4","5","6","7","8","9"},RIGHT(Fisa!B25,2)="SM",RIGHT(Fisa!B25,2)="PM",RIGHT(Fisa!B25,2)="PG",RIGHT(Fisa!B25,2)="mm",,RIGHT(Fisa!B25,2)="PG",RIGHT(Fisa!B25,2)="3D"), B15*5.796, B15)),B15)</f>
        <v/>
      </c>
      <c r="F15" t="s">
        <v>52</v>
      </c>
    </row>
    <row r="16" spans="1:6">
      <c r="A16" t="str">
        <f>IF(Fisa!B26="","",IF(RIGHT(Fisa!B26,2)="3D",Fisa!B26,"MDF "&amp;Fisa!B26))</f>
        <v/>
      </c>
      <c r="B16" t="str">
        <f>Fisa!C26</f>
        <v/>
      </c>
      <c r="C16" t="str">
        <f>_xlfn.CONCAT(Fisa!D26)</f>
        <v>mp</v>
      </c>
      <c r="D16" t="str">
        <f t="shared" si="0"/>
        <v xml:space="preserve"> mp</v>
      </c>
      <c r="E16" s="102" t="str" cm="1">
        <f t="array" ref="E16">IF(Fisa!I3="Debitare căntuire",IF(LEFT(Fisa!B26,3)="AGT",B16*3.416, IF(OR(RIGHT(Fisa!B26,1)={"0","1","2","3","4","5","6","7","8","9"},RIGHT(Fisa!B26,2)="SM",RIGHT(Fisa!B26,2)="PM",RIGHT(Fisa!B26,2)="PG",RIGHT(Fisa!B26,2)="mm",,RIGHT(Fisa!B26,2)="PG",RIGHT(Fisa!B26,2)="3D"), B16*5.796, B16)),B16)</f>
        <v/>
      </c>
      <c r="F16" t="s">
        <v>52</v>
      </c>
    </row>
    <row r="17" spans="1:6">
      <c r="A17" t="str">
        <f>IF(Fisa!B27="","",IF(RIGHT(Fisa!B27,2)="3D",Fisa!B27,"MDF "&amp;Fisa!B27))</f>
        <v/>
      </c>
      <c r="B17" t="str">
        <f>Fisa!C27</f>
        <v/>
      </c>
      <c r="C17" t="str">
        <f>_xlfn.CONCAT(Fisa!D27)</f>
        <v>mp</v>
      </c>
      <c r="D17" t="str">
        <f t="shared" si="0"/>
        <v xml:space="preserve"> mp</v>
      </c>
      <c r="E17" s="102" t="str" cm="1">
        <f t="array" ref="E17">IF(Fisa!I3="Debitare căntuire",IF(LEFT(Fisa!B27,3)="AGT",B17*3.416, IF(OR(RIGHT(Fisa!B27,1)={"0","1","2","3","4","5","6","7","8","9"},RIGHT(Fisa!B27,2)="SM",RIGHT(Fisa!B27,2)="PM",RIGHT(Fisa!B27,2)="PG",RIGHT(Fisa!B27,2)="mm",,RIGHT(Fisa!B27,2)="PG",RIGHT(Fisa!B27,2)="3D"), B17*5.796, B17)),B17)</f>
        <v/>
      </c>
      <c r="F17" t="s">
        <v>52</v>
      </c>
    </row>
    <row r="18" spans="1:6">
      <c r="A18" t="str">
        <f>IF(Fisa!B28="","",IF(RIGHT(Fisa!B28,2)="3D",Fisa!B28,"MDF "&amp;Fisa!B28))</f>
        <v/>
      </c>
      <c r="B18" t="str">
        <f>Fisa!C28</f>
        <v/>
      </c>
      <c r="C18" t="str">
        <f>_xlfn.CONCAT(Fisa!D28)</f>
        <v>mp</v>
      </c>
      <c r="D18" t="str">
        <f t="shared" si="0"/>
        <v xml:space="preserve"> mp</v>
      </c>
      <c r="E18" s="102" t="str" cm="1">
        <f t="array" ref="E18">IF(Fisa!I3="Debitare căntuire",IF(LEFT(Fisa!B28,3)="AGT",B18*3.416, IF(OR(RIGHT(Fisa!B28,1)={"0","1","2","3","4","5","6","7","8","9"},RIGHT(Fisa!B28,2)="SM",RIGHT(Fisa!B28,2)="PM",RIGHT(Fisa!B28,2)="PG",RIGHT(Fisa!B28,2)="mm",,RIGHT(Fisa!B28,2)="PG",RIGHT(Fisa!B28,2)="3D"), B18*5.796, B18)),B18)</f>
        <v/>
      </c>
      <c r="F18" t="s">
        <v>52</v>
      </c>
    </row>
    <row r="19" spans="1:6">
      <c r="A19" t="str">
        <f>Fisa!B32</f>
        <v/>
      </c>
      <c r="B19" t="str">
        <f>Fisa!C32</f>
        <v/>
      </c>
      <c r="C19" t="str">
        <f>_xlfn.CONCAT(Fisa!D32)</f>
        <v>buc</v>
      </c>
      <c r="D19" t="str">
        <f t="shared" si="0"/>
        <v xml:space="preserve"> ml</v>
      </c>
      <c r="E19" s="102" t="str">
        <f>IFERROR(B19*4.1, "")</f>
        <v/>
      </c>
      <c r="F19" t="s">
        <v>53</v>
      </c>
    </row>
    <row r="20" spans="1:6">
      <c r="A20" t="str">
        <f>Fisa!B33</f>
        <v/>
      </c>
      <c r="B20" t="str">
        <f>Fisa!C33</f>
        <v/>
      </c>
      <c r="C20" t="str">
        <f>_xlfn.CONCAT(Fisa!D33)</f>
        <v>buc</v>
      </c>
      <c r="D20" t="str">
        <f t="shared" si="0"/>
        <v xml:space="preserve"> ml</v>
      </c>
      <c r="E20" s="102" t="str">
        <f>IFERROR(B20*4.1, "")</f>
        <v/>
      </c>
      <c r="F20" t="s">
        <v>53</v>
      </c>
    </row>
    <row r="21" spans="1:6">
      <c r="A21" t="str">
        <f>Fisa!B34</f>
        <v/>
      </c>
      <c r="B21" t="str">
        <f>Fisa!C34</f>
        <v/>
      </c>
      <c r="C21" t="str">
        <f>_xlfn.CONCAT(Fisa!D34)</f>
        <v>buc</v>
      </c>
      <c r="D21" t="str">
        <f t="shared" si="0"/>
        <v xml:space="preserve"> ml</v>
      </c>
      <c r="E21" s="102" t="str">
        <f>IFERROR(B21*4.1, "")</f>
        <v/>
      </c>
      <c r="F21" t="s">
        <v>53</v>
      </c>
    </row>
    <row r="22" spans="1:6">
      <c r="A22" t="str">
        <f>Fisa!B36</f>
        <v/>
      </c>
      <c r="B22" t="str">
        <f>Fisa!C36</f>
        <v/>
      </c>
      <c r="C22" t="str">
        <f>_xlfn.CONCAT(Fisa!D36)</f>
        <v>buc</v>
      </c>
      <c r="D22" t="str">
        <f t="shared" si="0"/>
        <v xml:space="preserve"> ml</v>
      </c>
      <c r="E22" s="102" t="str">
        <f t="shared" ref="E22:E24" si="1">IFERROR(B22*4.1, "")</f>
        <v/>
      </c>
      <c r="F22" t="s">
        <v>53</v>
      </c>
    </row>
    <row r="23" spans="1:6">
      <c r="A23" t="str">
        <f>Fisa!B37</f>
        <v/>
      </c>
      <c r="B23" t="str">
        <f>Fisa!C37</f>
        <v/>
      </c>
      <c r="C23" t="str">
        <f>_xlfn.CONCAT(Fisa!D37)</f>
        <v>buc</v>
      </c>
      <c r="D23" t="str">
        <f t="shared" si="0"/>
        <v xml:space="preserve"> ml</v>
      </c>
      <c r="E23" s="102" t="str">
        <f t="shared" si="1"/>
        <v/>
      </c>
      <c r="F23" t="s">
        <v>53</v>
      </c>
    </row>
    <row r="24" spans="1:6">
      <c r="A24" t="str">
        <f>Fisa!B38</f>
        <v/>
      </c>
      <c r="B24" t="str">
        <f>Fisa!C38</f>
        <v/>
      </c>
      <c r="C24" t="str">
        <f>_xlfn.CONCAT(Fisa!D38)</f>
        <v>buc</v>
      </c>
      <c r="D24" t="str">
        <f t="shared" si="0"/>
        <v xml:space="preserve"> ml</v>
      </c>
      <c r="E24" s="102" t="str">
        <f t="shared" si="1"/>
        <v/>
      </c>
      <c r="F24" t="s">
        <v>53</v>
      </c>
    </row>
    <row r="25" spans="1:6">
      <c r="A25" t="str">
        <f>CONCATENATE(Fisa!F11," ",Fisa!F9)</f>
        <v xml:space="preserve"> 22/0.4</v>
      </c>
      <c r="B25" t="str">
        <f>Fisa!G11</f>
        <v/>
      </c>
      <c r="D25" t="str">
        <f>IF(A25="43/1.5",CONCATENATE(A26,C25),CONCATENATE(A25,C25))</f>
        <v xml:space="preserve"> 22/0.4</v>
      </c>
    </row>
    <row r="26" spans="1:6">
      <c r="A26" t="str">
        <f>CONCATENATE(Fisa!H11," ",Fisa!H9)</f>
        <v xml:space="preserve"> 22/1</v>
      </c>
      <c r="B26" t="str">
        <f>Fisa!I11</f>
        <v/>
      </c>
      <c r="D26" t="str">
        <f t="shared" ref="D26:D89" si="2">IF(A26="43/1.5",CONCATENATE(A27,C26),CONCATENATE(A26,C26))</f>
        <v xml:space="preserve"> 22/1</v>
      </c>
    </row>
    <row r="27" spans="1:6">
      <c r="A27" t="str">
        <f>CONCATENATE(Fisa!J11," ",Fisa!J9)</f>
        <v xml:space="preserve"> 23/0.8</v>
      </c>
      <c r="B27" t="str">
        <f>Fisa!K11</f>
        <v/>
      </c>
      <c r="D27" t="str">
        <f t="shared" si="2"/>
        <v xml:space="preserve"> 23/0.8</v>
      </c>
    </row>
    <row r="28" spans="1:6">
      <c r="A28" t="str">
        <f>CONCATENATE(Fisa!L11," ",Fisa!L9)</f>
        <v xml:space="preserve"> 23/2</v>
      </c>
      <c r="B28" t="str">
        <f>Fisa!M11</f>
        <v/>
      </c>
      <c r="D28" t="str">
        <f t="shared" si="2"/>
        <v xml:space="preserve"> 23/2</v>
      </c>
    </row>
    <row r="29" spans="1:6">
      <c r="A29" t="str">
        <f>CONCATENATE(Fisa!N11," ",Fisa!N9)</f>
        <v xml:space="preserve"> 43/1</v>
      </c>
      <c r="B29" t="str">
        <f>Fisa!O11</f>
        <v/>
      </c>
      <c r="D29" t="str">
        <f t="shared" si="2"/>
        <v xml:space="preserve"> 43/1</v>
      </c>
    </row>
    <row r="30" spans="1:6">
      <c r="A30" t="str">
        <f>CONCATENATE(Fisa!P11," ",Fisa!P9)</f>
        <v xml:space="preserve"> 43/1.5</v>
      </c>
      <c r="B30" t="str">
        <f>Fisa!Q11</f>
        <v/>
      </c>
      <c r="D30" t="str">
        <f t="shared" si="2"/>
        <v xml:space="preserve"> 43/1.5</v>
      </c>
    </row>
    <row r="31" spans="1:6">
      <c r="A31" t="str">
        <f>CONCATENATE(Fisa!R11," ",Fisa!R9)</f>
        <v xml:space="preserve"> 43/2</v>
      </c>
      <c r="B31" t="str">
        <f>Fisa!S11</f>
        <v/>
      </c>
      <c r="D31" t="str">
        <f t="shared" si="2"/>
        <v xml:space="preserve"> 43/2</v>
      </c>
    </row>
    <row r="32" spans="1:6">
      <c r="A32" t="str">
        <f>CONCATENATE(Fisa!F12," ",Fisa!F9)</f>
        <v xml:space="preserve"> 22/0.4</v>
      </c>
      <c r="B32" t="str">
        <f>Fisa!G12</f>
        <v/>
      </c>
      <c r="D32" t="str">
        <f t="shared" si="2"/>
        <v xml:space="preserve"> 22/0.4</v>
      </c>
    </row>
    <row r="33" spans="1:4">
      <c r="A33" t="str">
        <f>CONCATENATE(Fisa!H12," ",Fisa!H9)</f>
        <v xml:space="preserve"> 22/1</v>
      </c>
      <c r="B33" t="str">
        <f>Fisa!I12</f>
        <v/>
      </c>
      <c r="D33" t="str">
        <f t="shared" si="2"/>
        <v xml:space="preserve"> 22/1</v>
      </c>
    </row>
    <row r="34" spans="1:4">
      <c r="A34" t="str">
        <f>CONCATENATE(Fisa!J12," ",Fisa!J9)</f>
        <v xml:space="preserve"> 23/0.8</v>
      </c>
      <c r="B34" t="str">
        <f>Fisa!K12</f>
        <v/>
      </c>
      <c r="D34" t="str">
        <f t="shared" si="2"/>
        <v xml:space="preserve"> 23/0.8</v>
      </c>
    </row>
    <row r="35" spans="1:4">
      <c r="A35" t="str">
        <f>CONCATENATE(Fisa!L12," ",Fisa!L9)</f>
        <v xml:space="preserve"> 23/2</v>
      </c>
      <c r="B35" t="str">
        <f>Fisa!M12</f>
        <v/>
      </c>
      <c r="D35" t="str">
        <f t="shared" si="2"/>
        <v xml:space="preserve"> 23/2</v>
      </c>
    </row>
    <row r="36" spans="1:4">
      <c r="A36" t="str">
        <f>CONCATENATE(Fisa!N12," ",Fisa!N9)</f>
        <v xml:space="preserve"> 43/1</v>
      </c>
      <c r="B36" t="str">
        <f>Fisa!O12</f>
        <v/>
      </c>
      <c r="D36" t="str">
        <f t="shared" si="2"/>
        <v xml:space="preserve"> 43/1</v>
      </c>
    </row>
    <row r="37" spans="1:4">
      <c r="A37" t="str">
        <f>CONCATENATE(Fisa!P12," ",Fisa!P9)</f>
        <v xml:space="preserve"> 43/1.5</v>
      </c>
      <c r="B37" t="str">
        <f>Fisa!Q12</f>
        <v/>
      </c>
      <c r="D37" t="str">
        <f t="shared" si="2"/>
        <v xml:space="preserve"> 43/1.5</v>
      </c>
    </row>
    <row r="38" spans="1:4">
      <c r="A38" t="str">
        <f>CONCATENATE(Fisa!R12," ",Fisa!R9)</f>
        <v xml:space="preserve"> 43/2</v>
      </c>
      <c r="B38" t="str">
        <f>Fisa!S12</f>
        <v/>
      </c>
      <c r="D38" t="str">
        <f t="shared" si="2"/>
        <v xml:space="preserve"> 43/2</v>
      </c>
    </row>
    <row r="39" spans="1:4">
      <c r="A39" t="str">
        <f>CONCATENATE(Fisa!F13," ",Fisa!F9)</f>
        <v xml:space="preserve"> 22/0.4</v>
      </c>
      <c r="B39" t="str">
        <f>Fisa!G13</f>
        <v/>
      </c>
      <c r="D39" t="str">
        <f t="shared" si="2"/>
        <v xml:space="preserve"> 22/0.4</v>
      </c>
    </row>
    <row r="40" spans="1:4">
      <c r="A40" t="str">
        <f>CONCATENATE(Fisa!H13," ",Fisa!H9)</f>
        <v xml:space="preserve"> 22/1</v>
      </c>
      <c r="B40" t="str">
        <f>Fisa!I13</f>
        <v/>
      </c>
      <c r="D40" t="str">
        <f t="shared" si="2"/>
        <v xml:space="preserve"> 22/1</v>
      </c>
    </row>
    <row r="41" spans="1:4">
      <c r="A41" t="str">
        <f>CONCATENATE(Fisa!J13," ",Fisa!J9)</f>
        <v xml:space="preserve"> 23/0.8</v>
      </c>
      <c r="B41" t="str">
        <f>Fisa!K13</f>
        <v/>
      </c>
      <c r="D41" t="str">
        <f t="shared" si="2"/>
        <v xml:space="preserve"> 23/0.8</v>
      </c>
    </row>
    <row r="42" spans="1:4">
      <c r="A42" t="str">
        <f>CONCATENATE(Fisa!L13," ",Fisa!L9)</f>
        <v xml:space="preserve"> 23/2</v>
      </c>
      <c r="B42" t="str">
        <f>Fisa!M13</f>
        <v/>
      </c>
      <c r="D42" t="str">
        <f t="shared" si="2"/>
        <v xml:space="preserve"> 23/2</v>
      </c>
    </row>
    <row r="43" spans="1:4">
      <c r="A43" t="str">
        <f>CONCATENATE(Fisa!N13," ",Fisa!N9)</f>
        <v xml:space="preserve"> 43/1</v>
      </c>
      <c r="B43" t="str">
        <f>Fisa!O13</f>
        <v/>
      </c>
      <c r="D43" t="str">
        <f t="shared" si="2"/>
        <v xml:space="preserve"> 43/1</v>
      </c>
    </row>
    <row r="44" spans="1:4">
      <c r="A44" t="str">
        <f>CONCATENATE(Fisa!P13," ",Fisa!P9)</f>
        <v xml:space="preserve"> 43/1.5</v>
      </c>
      <c r="B44" t="str">
        <f>Fisa!Q13</f>
        <v/>
      </c>
      <c r="D44" t="str">
        <f t="shared" si="2"/>
        <v xml:space="preserve"> 43/1.5</v>
      </c>
    </row>
    <row r="45" spans="1:4">
      <c r="A45" t="str">
        <f>CONCATENATE(Fisa!R13," ",Fisa!R9)</f>
        <v xml:space="preserve"> 43/2</v>
      </c>
      <c r="B45" t="str">
        <f>Fisa!S13</f>
        <v/>
      </c>
      <c r="D45" t="str">
        <f t="shared" si="2"/>
        <v xml:space="preserve"> 43/2</v>
      </c>
    </row>
    <row r="46" spans="1:4">
      <c r="A46" t="str">
        <f>CONCATENATE(Fisa!F14," ",Fisa!F9)</f>
        <v xml:space="preserve"> 22/0.4</v>
      </c>
      <c r="B46" t="str">
        <f>Fisa!G14</f>
        <v/>
      </c>
      <c r="D46" t="str">
        <f t="shared" si="2"/>
        <v xml:space="preserve"> 22/0.4</v>
      </c>
    </row>
    <row r="47" spans="1:4">
      <c r="A47" t="str">
        <f>CONCATENATE(Fisa!H14," ",Fisa!H9)</f>
        <v xml:space="preserve"> 22/1</v>
      </c>
      <c r="B47" t="str">
        <f>Fisa!I14</f>
        <v/>
      </c>
      <c r="D47" t="str">
        <f t="shared" si="2"/>
        <v xml:space="preserve"> 22/1</v>
      </c>
    </row>
    <row r="48" spans="1:4">
      <c r="A48" t="str">
        <f>CONCATENATE(Fisa!J14," ",Fisa!J9)</f>
        <v xml:space="preserve"> 23/0.8</v>
      </c>
      <c r="B48" t="str">
        <f>Fisa!K14</f>
        <v/>
      </c>
      <c r="D48" t="str">
        <f t="shared" si="2"/>
        <v xml:space="preserve"> 23/0.8</v>
      </c>
    </row>
    <row r="49" spans="1:4">
      <c r="A49" t="str">
        <f>CONCATENATE(Fisa!L14," ",Fisa!L9)</f>
        <v xml:space="preserve"> 23/2</v>
      </c>
      <c r="B49" t="str">
        <f>Fisa!M14</f>
        <v/>
      </c>
      <c r="D49" t="str">
        <f t="shared" si="2"/>
        <v xml:space="preserve"> 23/2</v>
      </c>
    </row>
    <row r="50" spans="1:4">
      <c r="A50" t="str">
        <f>CONCATENATE(Fisa!N14," ",Fisa!N9)</f>
        <v xml:space="preserve"> 43/1</v>
      </c>
      <c r="B50" t="str">
        <f>Fisa!O14</f>
        <v/>
      </c>
      <c r="D50" t="str">
        <f t="shared" si="2"/>
        <v xml:space="preserve"> 43/1</v>
      </c>
    </row>
    <row r="51" spans="1:4">
      <c r="A51" t="str">
        <f>CONCATENATE(Fisa!P14," ",Fisa!P9)</f>
        <v xml:space="preserve"> 43/1.5</v>
      </c>
      <c r="B51" t="str">
        <f>Fisa!Q14</f>
        <v/>
      </c>
      <c r="D51" t="str">
        <f t="shared" si="2"/>
        <v xml:space="preserve"> 43/1.5</v>
      </c>
    </row>
    <row r="52" spans="1:4">
      <c r="A52" t="str">
        <f>CONCATENATE(Fisa!R14," ",Fisa!R9)</f>
        <v xml:space="preserve"> 43/2</v>
      </c>
      <c r="B52" t="str">
        <f>Fisa!S14</f>
        <v/>
      </c>
      <c r="D52" t="str">
        <f t="shared" si="2"/>
        <v xml:space="preserve"> 43/2</v>
      </c>
    </row>
    <row r="53" spans="1:4">
      <c r="A53" t="str">
        <f>CONCATENATE(Fisa!F15," ",Fisa!F9)</f>
        <v xml:space="preserve"> 22/0.4</v>
      </c>
      <c r="B53" t="str">
        <f>Fisa!G15</f>
        <v/>
      </c>
      <c r="D53" t="str">
        <f t="shared" si="2"/>
        <v xml:space="preserve"> 22/0.4</v>
      </c>
    </row>
    <row r="54" spans="1:4">
      <c r="A54" t="str">
        <f>CONCATENATE(Fisa!H15," ",Fisa!H9)</f>
        <v xml:space="preserve"> 22/1</v>
      </c>
      <c r="B54" t="str">
        <f>Fisa!I15</f>
        <v/>
      </c>
      <c r="D54" t="str">
        <f t="shared" si="2"/>
        <v xml:space="preserve"> 22/1</v>
      </c>
    </row>
    <row r="55" spans="1:4">
      <c r="A55" t="str">
        <f>CONCATENATE(Fisa!J15," ",Fisa!J9)</f>
        <v xml:space="preserve"> 23/0.8</v>
      </c>
      <c r="B55" t="str">
        <f>Fisa!K15</f>
        <v/>
      </c>
      <c r="D55" t="str">
        <f t="shared" si="2"/>
        <v xml:space="preserve"> 23/0.8</v>
      </c>
    </row>
    <row r="56" spans="1:4">
      <c r="A56" t="str">
        <f>CONCATENATE(Fisa!L15," ",Fisa!L9)</f>
        <v xml:space="preserve"> 23/2</v>
      </c>
      <c r="B56" t="str">
        <f>Fisa!M15</f>
        <v/>
      </c>
      <c r="D56" t="str">
        <f t="shared" si="2"/>
        <v xml:space="preserve"> 23/2</v>
      </c>
    </row>
    <row r="57" spans="1:4">
      <c r="A57" t="str">
        <f>CONCATENATE(Fisa!N15," ",Fisa!N9)</f>
        <v xml:space="preserve"> 43/1</v>
      </c>
      <c r="B57" t="str">
        <f>Fisa!O15</f>
        <v/>
      </c>
      <c r="D57" t="str">
        <f t="shared" si="2"/>
        <v xml:space="preserve"> 43/1</v>
      </c>
    </row>
    <row r="58" spans="1:4">
      <c r="A58" t="str">
        <f>CONCATENATE(Fisa!P15," ",Fisa!P9)</f>
        <v xml:space="preserve"> 43/1.5</v>
      </c>
      <c r="B58" t="str">
        <f>Fisa!Q15</f>
        <v/>
      </c>
      <c r="D58" t="str">
        <f t="shared" si="2"/>
        <v xml:space="preserve"> 43/1.5</v>
      </c>
    </row>
    <row r="59" spans="1:4">
      <c r="A59" t="str">
        <f>CONCATENATE(Fisa!R15," ",Fisa!R9)</f>
        <v xml:space="preserve"> 43/2</v>
      </c>
      <c r="B59" t="str">
        <f>Fisa!S15</f>
        <v/>
      </c>
      <c r="D59" t="str">
        <f t="shared" si="2"/>
        <v xml:space="preserve"> 43/2</v>
      </c>
    </row>
    <row r="60" spans="1:4">
      <c r="A60" t="str">
        <f>CONCATENATE(Fisa!F16," ",Fisa!F9)</f>
        <v xml:space="preserve"> 22/0.4</v>
      </c>
      <c r="B60" t="str">
        <f>Fisa!G16</f>
        <v/>
      </c>
      <c r="D60" t="str">
        <f t="shared" si="2"/>
        <v xml:space="preserve"> 22/0.4</v>
      </c>
    </row>
    <row r="61" spans="1:4">
      <c r="A61" t="str">
        <f>CONCATENATE(Fisa!H16," ",Fisa!H9)</f>
        <v xml:space="preserve"> 22/1</v>
      </c>
      <c r="B61" t="str">
        <f>Fisa!I16</f>
        <v/>
      </c>
      <c r="D61" t="str">
        <f t="shared" si="2"/>
        <v xml:space="preserve"> 22/1</v>
      </c>
    </row>
    <row r="62" spans="1:4">
      <c r="A62" t="str">
        <f>CONCATENATE(Fisa!J16," ",Fisa!J9)</f>
        <v xml:space="preserve"> 23/0.8</v>
      </c>
      <c r="B62" t="str">
        <f>Fisa!K16</f>
        <v/>
      </c>
      <c r="D62" t="str">
        <f t="shared" si="2"/>
        <v xml:space="preserve"> 23/0.8</v>
      </c>
    </row>
    <row r="63" spans="1:4">
      <c r="A63" t="str">
        <f>CONCATENATE(Fisa!L16," ",Fisa!L9)</f>
        <v xml:space="preserve"> 23/2</v>
      </c>
      <c r="B63" t="str">
        <f>Fisa!M16</f>
        <v/>
      </c>
      <c r="D63" t="str">
        <f t="shared" si="2"/>
        <v xml:space="preserve"> 23/2</v>
      </c>
    </row>
    <row r="64" spans="1:4">
      <c r="A64" t="str">
        <f>CONCATENATE(Fisa!N16," ",Fisa!N9)</f>
        <v xml:space="preserve"> 43/1</v>
      </c>
      <c r="B64" t="str">
        <f>Fisa!O16</f>
        <v/>
      </c>
      <c r="D64" t="str">
        <f t="shared" si="2"/>
        <v xml:space="preserve"> 43/1</v>
      </c>
    </row>
    <row r="65" spans="1:4">
      <c r="A65" t="str">
        <f>CONCATENATE(Fisa!P16," ",Fisa!P9)</f>
        <v xml:space="preserve"> 43/1.5</v>
      </c>
      <c r="B65" t="str">
        <f>Fisa!Q16</f>
        <v/>
      </c>
      <c r="D65" t="str">
        <f t="shared" si="2"/>
        <v xml:space="preserve"> 43/1.5</v>
      </c>
    </row>
    <row r="66" spans="1:4">
      <c r="A66" t="str">
        <f>CONCATENATE(Fisa!R16," ",Fisa!R9)</f>
        <v xml:space="preserve"> 43/2</v>
      </c>
      <c r="B66" t="str">
        <f>Fisa!S16</f>
        <v/>
      </c>
      <c r="D66" t="str">
        <f t="shared" si="2"/>
        <v xml:space="preserve"> 43/2</v>
      </c>
    </row>
    <row r="67" spans="1:4">
      <c r="A67" t="str">
        <f>CONCATENATE(Fisa!F17," ",Fisa!F9)</f>
        <v xml:space="preserve"> 22/0.4</v>
      </c>
      <c r="B67" t="str">
        <f>Fisa!G17</f>
        <v/>
      </c>
      <c r="D67" t="str">
        <f t="shared" si="2"/>
        <v xml:space="preserve"> 22/0.4</v>
      </c>
    </row>
    <row r="68" spans="1:4">
      <c r="A68" t="str">
        <f>CONCATENATE(Fisa!H17," ",Fisa!H9)</f>
        <v xml:space="preserve"> 22/1</v>
      </c>
      <c r="B68" t="str">
        <f>Fisa!I17</f>
        <v/>
      </c>
      <c r="D68" t="str">
        <f t="shared" si="2"/>
        <v xml:space="preserve"> 22/1</v>
      </c>
    </row>
    <row r="69" spans="1:4">
      <c r="A69" t="str">
        <f>CONCATENATE(Fisa!J17," ",Fisa!J9)</f>
        <v xml:space="preserve"> 23/0.8</v>
      </c>
      <c r="B69" t="str">
        <f>Fisa!K17</f>
        <v/>
      </c>
      <c r="D69" t="str">
        <f t="shared" si="2"/>
        <v xml:space="preserve"> 23/0.8</v>
      </c>
    </row>
    <row r="70" spans="1:4">
      <c r="A70" t="str">
        <f>CONCATENATE(Fisa!L17," ",Fisa!L9)</f>
        <v xml:space="preserve"> 23/2</v>
      </c>
      <c r="B70" t="str">
        <f>Fisa!M17</f>
        <v/>
      </c>
      <c r="D70" t="str">
        <f t="shared" si="2"/>
        <v xml:space="preserve"> 23/2</v>
      </c>
    </row>
    <row r="71" spans="1:4">
      <c r="A71" t="str">
        <f>CONCATENATE(Fisa!N17," ",Fisa!N9)</f>
        <v xml:space="preserve"> 43/1</v>
      </c>
      <c r="B71" t="str">
        <f>Fisa!O17</f>
        <v/>
      </c>
      <c r="D71" t="str">
        <f t="shared" si="2"/>
        <v xml:space="preserve"> 43/1</v>
      </c>
    </row>
    <row r="72" spans="1:4">
      <c r="A72" t="str">
        <f>CONCATENATE(Fisa!P17," ",Fisa!P9)</f>
        <v xml:space="preserve"> 43/1.5</v>
      </c>
      <c r="B72" t="str">
        <f>Fisa!Q17</f>
        <v/>
      </c>
      <c r="D72" t="str">
        <f t="shared" si="2"/>
        <v xml:space="preserve"> 43/1.5</v>
      </c>
    </row>
    <row r="73" spans="1:4">
      <c r="A73" t="str">
        <f>CONCATENATE(Fisa!R17," ",Fisa!R9)</f>
        <v xml:space="preserve"> 43/2</v>
      </c>
      <c r="B73" t="str">
        <f>Fisa!S17</f>
        <v/>
      </c>
      <c r="D73" t="str">
        <f t="shared" si="2"/>
        <v xml:space="preserve"> 43/2</v>
      </c>
    </row>
    <row r="74" spans="1:4">
      <c r="A74" t="str">
        <f>CONCATENATE(Fisa!F18," ",Fisa!F9)</f>
        <v xml:space="preserve"> 22/0.4</v>
      </c>
      <c r="B74" t="str">
        <f>Fisa!G18</f>
        <v/>
      </c>
      <c r="D74" t="str">
        <f t="shared" si="2"/>
        <v xml:space="preserve"> 22/0.4</v>
      </c>
    </row>
    <row r="75" spans="1:4">
      <c r="A75" t="str">
        <f>CONCATENATE(Fisa!H18," ",Fisa!H9)</f>
        <v xml:space="preserve"> 22/1</v>
      </c>
      <c r="B75" t="str">
        <f>Fisa!I18</f>
        <v/>
      </c>
      <c r="D75" t="str">
        <f t="shared" si="2"/>
        <v xml:space="preserve"> 22/1</v>
      </c>
    </row>
    <row r="76" spans="1:4">
      <c r="A76" t="str">
        <f>CONCATENATE(Fisa!J18," ",Fisa!J9)</f>
        <v xml:space="preserve"> 23/0.8</v>
      </c>
      <c r="B76" t="str">
        <f>Fisa!K18</f>
        <v/>
      </c>
      <c r="D76" t="str">
        <f t="shared" si="2"/>
        <v xml:space="preserve"> 23/0.8</v>
      </c>
    </row>
    <row r="77" spans="1:4">
      <c r="A77" t="str">
        <f>CONCATENATE(Fisa!L18," ",Fisa!L9)</f>
        <v xml:space="preserve"> 23/2</v>
      </c>
      <c r="B77" t="str">
        <f>Fisa!M18</f>
        <v/>
      </c>
      <c r="D77" t="str">
        <f t="shared" si="2"/>
        <v xml:space="preserve"> 23/2</v>
      </c>
    </row>
    <row r="78" spans="1:4">
      <c r="A78" t="str">
        <f>CONCATENATE(Fisa!N18," ",Fisa!N9)</f>
        <v xml:space="preserve"> 43/1</v>
      </c>
      <c r="B78" t="str">
        <f>Fisa!O18</f>
        <v/>
      </c>
      <c r="D78" t="str">
        <f t="shared" si="2"/>
        <v xml:space="preserve"> 43/1</v>
      </c>
    </row>
    <row r="79" spans="1:4">
      <c r="A79" t="str">
        <f>CONCATENATE(Fisa!P18," ",Fisa!P9)</f>
        <v xml:space="preserve"> 43/1.5</v>
      </c>
      <c r="B79" t="str">
        <f>Fisa!Q18</f>
        <v/>
      </c>
      <c r="D79" t="str">
        <f t="shared" si="2"/>
        <v xml:space="preserve"> 43/1.5</v>
      </c>
    </row>
    <row r="80" spans="1:4">
      <c r="A80" t="str">
        <f>CONCATENATE(Fisa!R18," ",Fisa!R9)</f>
        <v xml:space="preserve"> 43/2</v>
      </c>
      <c r="B80" t="str">
        <f>Fisa!S18</f>
        <v/>
      </c>
      <c r="D80" t="str">
        <f t="shared" si="2"/>
        <v xml:space="preserve"> 43/2</v>
      </c>
    </row>
    <row r="81" spans="1:4">
      <c r="A81" t="str">
        <f>CONCATENATE(Fisa!F19," ",Fisa!F9)</f>
        <v xml:space="preserve"> 22/0.4</v>
      </c>
      <c r="B81" t="str">
        <f>Fisa!G19</f>
        <v/>
      </c>
      <c r="D81" t="str">
        <f t="shared" si="2"/>
        <v xml:space="preserve"> 22/0.4</v>
      </c>
    </row>
    <row r="82" spans="1:4">
      <c r="A82" t="str">
        <f>CONCATENATE(Fisa!H19," ",Fisa!H9)</f>
        <v xml:space="preserve"> 22/1</v>
      </c>
      <c r="B82" t="str">
        <f>Fisa!I19</f>
        <v/>
      </c>
      <c r="D82" t="str">
        <f t="shared" si="2"/>
        <v xml:space="preserve"> 22/1</v>
      </c>
    </row>
    <row r="83" spans="1:4">
      <c r="A83" t="str">
        <f>CONCATENATE(Fisa!J19," ",Fisa!J9)</f>
        <v xml:space="preserve"> 23/0.8</v>
      </c>
      <c r="B83" t="str">
        <f>Fisa!K19</f>
        <v/>
      </c>
      <c r="D83" t="str">
        <f t="shared" si="2"/>
        <v xml:space="preserve"> 23/0.8</v>
      </c>
    </row>
    <row r="84" spans="1:4">
      <c r="A84" t="str">
        <f>CONCATENATE(Fisa!L19," ",Fisa!L9)</f>
        <v xml:space="preserve"> 23/2</v>
      </c>
      <c r="B84" t="str">
        <f>Fisa!M19</f>
        <v/>
      </c>
      <c r="D84" t="str">
        <f t="shared" si="2"/>
        <v xml:space="preserve"> 23/2</v>
      </c>
    </row>
    <row r="85" spans="1:4">
      <c r="A85" t="str">
        <f>CONCATENATE(Fisa!N19," ",Fisa!N9)</f>
        <v xml:space="preserve"> 43/1</v>
      </c>
      <c r="B85" t="str">
        <f>Fisa!O19</f>
        <v/>
      </c>
      <c r="D85" t="str">
        <f t="shared" si="2"/>
        <v xml:space="preserve"> 43/1</v>
      </c>
    </row>
    <row r="86" spans="1:4">
      <c r="A86" t="str">
        <f>CONCATENATE(Fisa!P19," ",Fisa!P9)</f>
        <v xml:space="preserve"> 43/1.5</v>
      </c>
      <c r="B86" t="str">
        <f>Fisa!Q19</f>
        <v/>
      </c>
      <c r="D86" t="str">
        <f t="shared" si="2"/>
        <v xml:space="preserve"> 43/1.5</v>
      </c>
    </row>
    <row r="87" spans="1:4">
      <c r="A87" t="str">
        <f>CONCATENATE(Fisa!R19," ",Fisa!R9)</f>
        <v xml:space="preserve"> 43/2</v>
      </c>
      <c r="B87" t="str">
        <f>Fisa!S19</f>
        <v/>
      </c>
      <c r="D87" t="str">
        <f t="shared" si="2"/>
        <v xml:space="preserve"> 43/2</v>
      </c>
    </row>
    <row r="88" spans="1:4">
      <c r="A88" t="str">
        <f>CONCATENATE(Fisa!F20," ",Fisa!F9)</f>
        <v xml:space="preserve"> 22/0.4</v>
      </c>
      <c r="B88" t="str">
        <f>Fisa!G20</f>
        <v/>
      </c>
      <c r="D88" t="str">
        <f t="shared" si="2"/>
        <v xml:space="preserve"> 22/0.4</v>
      </c>
    </row>
    <row r="89" spans="1:4">
      <c r="A89" t="str">
        <f>CONCATENATE(Fisa!H20," ",Fisa!H9)</f>
        <v xml:space="preserve"> 22/1</v>
      </c>
      <c r="B89" t="str">
        <f>Fisa!I20</f>
        <v/>
      </c>
      <c r="D89" t="str">
        <f t="shared" si="2"/>
        <v xml:space="preserve"> 22/1</v>
      </c>
    </row>
    <row r="90" spans="1:4">
      <c r="A90" t="str">
        <f>CONCATENATE(Fisa!J20," ",Fisa!J9)</f>
        <v xml:space="preserve"> 23/0.8</v>
      </c>
      <c r="B90" t="str">
        <f>Fisa!K20</f>
        <v/>
      </c>
      <c r="D90" t="str">
        <f t="shared" ref="D90:D143" si="3">IF(A90="43/1.5",CONCATENATE(A91,C90),CONCATENATE(A90,C90))</f>
        <v xml:space="preserve"> 23/0.8</v>
      </c>
    </row>
    <row r="91" spans="1:4">
      <c r="A91" t="str">
        <f>CONCATENATE(Fisa!L20," ",Fisa!L9)</f>
        <v xml:space="preserve"> 23/2</v>
      </c>
      <c r="B91" t="str">
        <f>Fisa!M20</f>
        <v/>
      </c>
      <c r="D91" t="str">
        <f t="shared" si="3"/>
        <v xml:space="preserve"> 23/2</v>
      </c>
    </row>
    <row r="92" spans="1:4">
      <c r="A92" t="str">
        <f>CONCATENATE(Fisa!N20," ",Fisa!N9)</f>
        <v xml:space="preserve"> 43/1</v>
      </c>
      <c r="B92" t="str">
        <f>Fisa!O20</f>
        <v/>
      </c>
      <c r="D92" t="str">
        <f t="shared" si="3"/>
        <v xml:space="preserve"> 43/1</v>
      </c>
    </row>
    <row r="93" spans="1:4">
      <c r="A93" t="str">
        <f>CONCATENATE(Fisa!P20," ",Fisa!P9)</f>
        <v xml:space="preserve"> 43/1.5</v>
      </c>
      <c r="B93" t="str">
        <f>Fisa!Q20</f>
        <v/>
      </c>
      <c r="D93" t="str">
        <f t="shared" si="3"/>
        <v xml:space="preserve"> 43/1.5</v>
      </c>
    </row>
    <row r="94" spans="1:4">
      <c r="A94" t="str">
        <f>CONCATENATE(Fisa!R20," ",Fisa!R9)</f>
        <v xml:space="preserve"> 43/2</v>
      </c>
      <c r="B94" t="str">
        <f>Fisa!S20</f>
        <v/>
      </c>
      <c r="D94" t="str">
        <f t="shared" si="3"/>
        <v xml:space="preserve"> 43/2</v>
      </c>
    </row>
    <row r="95" spans="1:4">
      <c r="A95" t="str">
        <f>CONCATENATE(Fisa!F21," ",Fisa!F9)</f>
        <v xml:space="preserve"> 22/0.4</v>
      </c>
      <c r="B95" t="str">
        <f>Fisa!G21</f>
        <v/>
      </c>
      <c r="D95" t="str">
        <f t="shared" si="3"/>
        <v xml:space="preserve"> 22/0.4</v>
      </c>
    </row>
    <row r="96" spans="1:4">
      <c r="A96" t="str">
        <f>CONCATENATE(Fisa!H21," ",Fisa!H9)</f>
        <v xml:space="preserve"> 22/1</v>
      </c>
      <c r="B96" t="str">
        <f>Fisa!I21</f>
        <v/>
      </c>
      <c r="D96" t="str">
        <f t="shared" si="3"/>
        <v xml:space="preserve"> 22/1</v>
      </c>
    </row>
    <row r="97" spans="1:4">
      <c r="A97" t="str">
        <f>CONCATENATE(Fisa!J21," ",Fisa!J9)</f>
        <v xml:space="preserve"> 23/0.8</v>
      </c>
      <c r="B97" t="str">
        <f>Fisa!K21</f>
        <v/>
      </c>
      <c r="D97" t="str">
        <f t="shared" si="3"/>
        <v xml:space="preserve"> 23/0.8</v>
      </c>
    </row>
    <row r="98" spans="1:4">
      <c r="A98" t="str">
        <f>CONCATENATE(Fisa!L21," ",Fisa!L9)</f>
        <v xml:space="preserve"> 23/2</v>
      </c>
      <c r="B98" t="str">
        <f>Fisa!M21</f>
        <v/>
      </c>
      <c r="D98" t="str">
        <f t="shared" si="3"/>
        <v xml:space="preserve"> 23/2</v>
      </c>
    </row>
    <row r="99" spans="1:4">
      <c r="A99" t="str">
        <f>CONCATENATE(Fisa!N21," ",Fisa!N9)</f>
        <v xml:space="preserve"> 43/1</v>
      </c>
      <c r="B99" t="str">
        <f>Fisa!O21</f>
        <v/>
      </c>
      <c r="D99" t="str">
        <f t="shared" si="3"/>
        <v xml:space="preserve"> 43/1</v>
      </c>
    </row>
    <row r="100" spans="1:4">
      <c r="A100" t="str">
        <f>CONCATENATE(Fisa!P21," ",Fisa!P9)</f>
        <v xml:space="preserve"> 43/1.5</v>
      </c>
      <c r="B100" t="str">
        <f>Fisa!Q21</f>
        <v/>
      </c>
      <c r="D100" t="str">
        <f t="shared" si="3"/>
        <v xml:space="preserve"> 43/1.5</v>
      </c>
    </row>
    <row r="101" spans="1:4">
      <c r="A101" t="str">
        <f>CONCATENATE(Fisa!R21," ",Fisa!R9)</f>
        <v xml:space="preserve"> 43/2</v>
      </c>
      <c r="B101" t="str">
        <f>Fisa!S22</f>
        <v/>
      </c>
      <c r="D101" t="str">
        <f t="shared" si="3"/>
        <v xml:space="preserve"> 43/2</v>
      </c>
    </row>
    <row r="102" spans="1:4">
      <c r="A102" t="str">
        <f>CONCATENATE(Fisa!F22," ",Fisa!F9)</f>
        <v xml:space="preserve"> 22/0.4</v>
      </c>
      <c r="B102" t="str">
        <f>Fisa!G22</f>
        <v/>
      </c>
      <c r="D102" t="str">
        <f t="shared" si="3"/>
        <v xml:space="preserve"> 22/0.4</v>
      </c>
    </row>
    <row r="103" spans="1:4">
      <c r="A103" t="str">
        <f>CONCATENATE(Fisa!H22," ",Fisa!H9)</f>
        <v xml:space="preserve"> 22/1</v>
      </c>
      <c r="B103" t="str">
        <f>Fisa!I22</f>
        <v/>
      </c>
      <c r="D103" t="str">
        <f t="shared" si="3"/>
        <v xml:space="preserve"> 22/1</v>
      </c>
    </row>
    <row r="104" spans="1:4">
      <c r="A104" t="str">
        <f>CONCATENATE(Fisa!J22," ",Fisa!J9)</f>
        <v xml:space="preserve"> 23/0.8</v>
      </c>
      <c r="B104" t="str">
        <f>Fisa!K22</f>
        <v/>
      </c>
      <c r="D104" t="str">
        <f t="shared" si="3"/>
        <v xml:space="preserve"> 23/0.8</v>
      </c>
    </row>
    <row r="105" spans="1:4">
      <c r="A105" t="str">
        <f>CONCATENATE(Fisa!L22," ",Fisa!L9)</f>
        <v xml:space="preserve"> 23/2</v>
      </c>
      <c r="B105" t="str">
        <f>Fisa!M22</f>
        <v/>
      </c>
      <c r="D105" t="str">
        <f t="shared" si="3"/>
        <v xml:space="preserve"> 23/2</v>
      </c>
    </row>
    <row r="106" spans="1:4">
      <c r="A106" t="str">
        <f>CONCATENATE(Fisa!N22," ",Fisa!N9)</f>
        <v xml:space="preserve"> 43/1</v>
      </c>
      <c r="B106" t="str">
        <f>Fisa!O22</f>
        <v/>
      </c>
      <c r="D106" t="str">
        <f t="shared" si="3"/>
        <v xml:space="preserve"> 43/1</v>
      </c>
    </row>
    <row r="107" spans="1:4">
      <c r="A107" t="str">
        <f>CONCATENATE(Fisa!P22," ",Fisa!P9)</f>
        <v xml:space="preserve"> 43/1.5</v>
      </c>
      <c r="B107" t="str">
        <f>Fisa!Q22</f>
        <v/>
      </c>
      <c r="D107" t="str">
        <f t="shared" si="3"/>
        <v xml:space="preserve"> 43/1.5</v>
      </c>
    </row>
    <row r="108" spans="1:4">
      <c r="A108" t="str">
        <f>CONCATENATE(Fisa!R22," ",Fisa!R9)</f>
        <v xml:space="preserve"> 43/2</v>
      </c>
      <c r="B108" t="str">
        <f>Fisa!S22</f>
        <v/>
      </c>
      <c r="D108" t="str">
        <f t="shared" si="3"/>
        <v xml:space="preserve"> 43/2</v>
      </c>
    </row>
    <row r="109" spans="1:4">
      <c r="A109" t="str">
        <f>CONCATENATE(Fisa!F24," ",Fisa!F9)</f>
        <v xml:space="preserve"> 22/0.4</v>
      </c>
      <c r="B109" t="str">
        <f>Fisa!G24</f>
        <v/>
      </c>
      <c r="D109" t="str">
        <f t="shared" si="3"/>
        <v xml:space="preserve"> 22/0.4</v>
      </c>
    </row>
    <row r="110" spans="1:4">
      <c r="A110" t="str">
        <f>CONCATENATE(Fisa!H24," ",Fisa!H9)</f>
        <v xml:space="preserve"> 22/1</v>
      </c>
      <c r="B110" t="str">
        <f>Fisa!I24</f>
        <v/>
      </c>
      <c r="D110" t="str">
        <f t="shared" si="3"/>
        <v xml:space="preserve"> 22/1</v>
      </c>
    </row>
    <row r="111" spans="1:4">
      <c r="A111" t="str">
        <f>CONCATENATE(Fisa!J24," ",Fisa!J9)</f>
        <v xml:space="preserve"> 23/0.8</v>
      </c>
      <c r="B111" t="str">
        <f>Fisa!K24</f>
        <v/>
      </c>
      <c r="D111" t="str">
        <f t="shared" si="3"/>
        <v xml:space="preserve"> 23/0.8</v>
      </c>
    </row>
    <row r="112" spans="1:4">
      <c r="A112" t="str">
        <f>CONCATENATE(Fisa!L24," ",Fisa!L9)</f>
        <v xml:space="preserve"> 23/2</v>
      </c>
      <c r="B112" t="str">
        <f>Fisa!M24</f>
        <v/>
      </c>
      <c r="D112" t="str">
        <f t="shared" si="3"/>
        <v xml:space="preserve"> 23/2</v>
      </c>
    </row>
    <row r="113" spans="1:4">
      <c r="A113" t="str">
        <f>CONCATENATE(Fisa!N24," ",Fisa!N9)</f>
        <v xml:space="preserve"> 43/1</v>
      </c>
      <c r="B113" t="str">
        <f>Fisa!O24</f>
        <v/>
      </c>
      <c r="D113" t="str">
        <f t="shared" si="3"/>
        <v xml:space="preserve"> 43/1</v>
      </c>
    </row>
    <row r="114" spans="1:4">
      <c r="A114" t="str">
        <f>CONCATENATE(Fisa!P24," ",Fisa!P9)</f>
        <v xml:space="preserve"> 43/1.5</v>
      </c>
      <c r="B114" t="str">
        <f>Fisa!Q24</f>
        <v/>
      </c>
      <c r="D114" t="str">
        <f t="shared" si="3"/>
        <v xml:space="preserve"> 43/1.5</v>
      </c>
    </row>
    <row r="115" spans="1:4">
      <c r="A115" t="str">
        <f>CONCATENATE(Fisa!R24," ",Fisa!R9)</f>
        <v xml:space="preserve"> 43/2</v>
      </c>
      <c r="B115" t="str">
        <f>Fisa!S24</f>
        <v/>
      </c>
      <c r="D115" t="str">
        <f t="shared" si="3"/>
        <v xml:space="preserve"> 43/2</v>
      </c>
    </row>
    <row r="116" spans="1:4">
      <c r="A116" t="str">
        <f>CONCATENATE(Fisa!F25," ",Fisa!F9)</f>
        <v xml:space="preserve"> 22/0.4</v>
      </c>
      <c r="B116" t="str">
        <f>Fisa!G25</f>
        <v/>
      </c>
      <c r="D116" t="str">
        <f t="shared" si="3"/>
        <v xml:space="preserve"> 22/0.4</v>
      </c>
    </row>
    <row r="117" spans="1:4">
      <c r="A117" t="str">
        <f>CONCATENATE(Fisa!H25," ",Fisa!H9)</f>
        <v xml:space="preserve"> 22/1</v>
      </c>
      <c r="B117" t="str">
        <f>Fisa!I25</f>
        <v/>
      </c>
      <c r="D117" t="str">
        <f t="shared" si="3"/>
        <v xml:space="preserve"> 22/1</v>
      </c>
    </row>
    <row r="118" spans="1:4">
      <c r="A118" t="str">
        <f>CONCATENATE(Fisa!J25," ",Fisa!J9)</f>
        <v xml:space="preserve"> 23/0.8</v>
      </c>
      <c r="B118" t="str">
        <f>Fisa!K25</f>
        <v/>
      </c>
      <c r="D118" t="str">
        <f t="shared" si="3"/>
        <v xml:space="preserve"> 23/0.8</v>
      </c>
    </row>
    <row r="119" spans="1:4">
      <c r="A119" t="str">
        <f>CONCATENATE(Fisa!L25," ",Fisa!L9)</f>
        <v xml:space="preserve"> 23/2</v>
      </c>
      <c r="B119" t="str">
        <f>Fisa!M25</f>
        <v/>
      </c>
      <c r="D119" t="str">
        <f t="shared" si="3"/>
        <v xml:space="preserve"> 23/2</v>
      </c>
    </row>
    <row r="120" spans="1:4">
      <c r="A120" t="str">
        <f>CONCATENATE(Fisa!N25," ",Fisa!N9)</f>
        <v xml:space="preserve"> 43/1</v>
      </c>
      <c r="B120" t="str">
        <f>Fisa!O25</f>
        <v/>
      </c>
      <c r="D120" t="str">
        <f t="shared" si="3"/>
        <v xml:space="preserve"> 43/1</v>
      </c>
    </row>
    <row r="121" spans="1:4">
      <c r="A121" t="str">
        <f>CONCATENATE(Fisa!P25," ",Fisa!P9)</f>
        <v xml:space="preserve"> 43/1.5</v>
      </c>
      <c r="B121" t="str">
        <f>Fisa!Q25</f>
        <v/>
      </c>
      <c r="D121" t="str">
        <f t="shared" si="3"/>
        <v xml:space="preserve"> 43/1.5</v>
      </c>
    </row>
    <row r="122" spans="1:4">
      <c r="A122" t="str">
        <f>CONCATENATE(Fisa!R25," ",Fisa!R9)</f>
        <v xml:space="preserve"> 43/2</v>
      </c>
      <c r="B122" t="str">
        <f>Fisa!S25</f>
        <v/>
      </c>
      <c r="D122" t="str">
        <f t="shared" si="3"/>
        <v xml:space="preserve"> 43/2</v>
      </c>
    </row>
    <row r="123" spans="1:4">
      <c r="A123" t="str">
        <f>CONCATENATE(Fisa!F26," ",Fisa!F9)</f>
        <v xml:space="preserve"> 22/0.4</v>
      </c>
      <c r="B123" t="str">
        <f>Fisa!G26</f>
        <v/>
      </c>
      <c r="D123" t="str">
        <f t="shared" si="3"/>
        <v xml:space="preserve"> 22/0.4</v>
      </c>
    </row>
    <row r="124" spans="1:4">
      <c r="A124" t="str">
        <f>CONCATENATE(Fisa!H26," ",Fisa!H9)</f>
        <v xml:space="preserve"> 22/1</v>
      </c>
      <c r="B124" t="str">
        <f>Fisa!I26</f>
        <v/>
      </c>
      <c r="D124" t="str">
        <f t="shared" si="3"/>
        <v xml:space="preserve"> 22/1</v>
      </c>
    </row>
    <row r="125" spans="1:4">
      <c r="A125" t="str">
        <f>CONCATENATE(Fisa!J26," ",Fisa!J9)</f>
        <v xml:space="preserve"> 23/0.8</v>
      </c>
      <c r="B125" t="str">
        <f>Fisa!K26</f>
        <v/>
      </c>
      <c r="D125" t="str">
        <f t="shared" si="3"/>
        <v xml:space="preserve"> 23/0.8</v>
      </c>
    </row>
    <row r="126" spans="1:4">
      <c r="A126" t="str">
        <f>CONCATENATE(Fisa!L26," ",Fisa!L9)</f>
        <v xml:space="preserve"> 23/2</v>
      </c>
      <c r="B126" t="str">
        <f>Fisa!M26</f>
        <v/>
      </c>
      <c r="D126" t="str">
        <f t="shared" si="3"/>
        <v xml:space="preserve"> 23/2</v>
      </c>
    </row>
    <row r="127" spans="1:4">
      <c r="A127" t="str">
        <f>CONCATENATE(Fisa!N26," ",Fisa!N9)</f>
        <v xml:space="preserve"> 43/1</v>
      </c>
      <c r="B127" t="str">
        <f>Fisa!O26</f>
        <v/>
      </c>
      <c r="D127" t="str">
        <f t="shared" si="3"/>
        <v xml:space="preserve"> 43/1</v>
      </c>
    </row>
    <row r="128" spans="1:4">
      <c r="A128" t="str">
        <f>CONCATENATE(Fisa!P26," ",Fisa!P9)</f>
        <v xml:space="preserve"> 43/1.5</v>
      </c>
      <c r="B128" t="str">
        <f>Fisa!Q26</f>
        <v/>
      </c>
      <c r="D128" t="str">
        <f t="shared" si="3"/>
        <v xml:space="preserve"> 43/1.5</v>
      </c>
    </row>
    <row r="129" spans="1:6">
      <c r="A129" t="str">
        <f>CONCATENATE(Fisa!R26," ",Fisa!R9)</f>
        <v xml:space="preserve"> 43/2</v>
      </c>
      <c r="B129" t="str">
        <f>Fisa!S26</f>
        <v/>
      </c>
      <c r="D129" t="str">
        <f t="shared" si="3"/>
        <v xml:space="preserve"> 43/2</v>
      </c>
    </row>
    <row r="130" spans="1:6">
      <c r="A130" t="str">
        <f>CONCATENATE(Fisa!F27," ",Fisa!F9)</f>
        <v xml:space="preserve"> 22/0.4</v>
      </c>
      <c r="B130" t="str">
        <f>Fisa!G27</f>
        <v/>
      </c>
      <c r="D130" t="str">
        <f t="shared" si="3"/>
        <v xml:space="preserve"> 22/0.4</v>
      </c>
    </row>
    <row r="131" spans="1:6">
      <c r="A131" t="str">
        <f>CONCATENATE(Fisa!H27," ",Fisa!H9)</f>
        <v xml:space="preserve"> 22/1</v>
      </c>
      <c r="B131" t="str">
        <f>Fisa!I27</f>
        <v/>
      </c>
      <c r="D131" t="str">
        <f t="shared" si="3"/>
        <v xml:space="preserve"> 22/1</v>
      </c>
    </row>
    <row r="132" spans="1:6">
      <c r="A132" t="str">
        <f>CONCATENATE(Fisa!J27," ",Fisa!J9)</f>
        <v xml:space="preserve"> 23/0.8</v>
      </c>
      <c r="B132" t="str">
        <f>Fisa!K27</f>
        <v/>
      </c>
      <c r="D132" t="str">
        <f t="shared" si="3"/>
        <v xml:space="preserve"> 23/0.8</v>
      </c>
    </row>
    <row r="133" spans="1:6">
      <c r="A133" t="str">
        <f>CONCATENATE(Fisa!L27," ",Fisa!L9)</f>
        <v xml:space="preserve"> 23/2</v>
      </c>
      <c r="B133" t="str">
        <f>Fisa!M27</f>
        <v/>
      </c>
      <c r="D133" t="str">
        <f t="shared" si="3"/>
        <v xml:space="preserve"> 23/2</v>
      </c>
    </row>
    <row r="134" spans="1:6">
      <c r="A134" t="str">
        <f>CONCATENATE(Fisa!N27," ",Fisa!N9)</f>
        <v xml:space="preserve"> 43/1</v>
      </c>
      <c r="B134" t="str">
        <f>Fisa!O27</f>
        <v/>
      </c>
      <c r="D134" t="str">
        <f t="shared" si="3"/>
        <v xml:space="preserve"> 43/1</v>
      </c>
    </row>
    <row r="135" spans="1:6">
      <c r="A135" t="str">
        <f>CONCATENATE(Fisa!P27," ",Fisa!P9)</f>
        <v xml:space="preserve"> 43/1.5</v>
      </c>
      <c r="B135" t="str">
        <f>Fisa!Q27</f>
        <v/>
      </c>
      <c r="D135" t="str">
        <f t="shared" si="3"/>
        <v xml:space="preserve"> 43/1.5</v>
      </c>
    </row>
    <row r="136" spans="1:6">
      <c r="A136" t="str">
        <f>CONCATENATE(Fisa!R27," ",Fisa!R9)</f>
        <v xml:space="preserve"> 43/2</v>
      </c>
      <c r="B136" t="str">
        <f>Fisa!S27</f>
        <v/>
      </c>
      <c r="D136" t="str">
        <f t="shared" si="3"/>
        <v xml:space="preserve"> 43/2</v>
      </c>
    </row>
    <row r="137" spans="1:6">
      <c r="A137" t="str">
        <f>CONCATENATE(Fisa!F28," ",Fisa!F9)</f>
        <v xml:space="preserve"> 22/0.4</v>
      </c>
      <c r="B137" t="str">
        <f>Fisa!G28</f>
        <v/>
      </c>
      <c r="D137" t="str">
        <f t="shared" si="3"/>
        <v xml:space="preserve"> 22/0.4</v>
      </c>
    </row>
    <row r="138" spans="1:6">
      <c r="A138" t="str">
        <f>CONCATENATE(Fisa!H28," ",Fisa!H9)</f>
        <v xml:space="preserve"> 22/1</v>
      </c>
      <c r="B138" t="str">
        <f>Fisa!I28</f>
        <v/>
      </c>
      <c r="D138" t="str">
        <f t="shared" si="3"/>
        <v xml:space="preserve"> 22/1</v>
      </c>
    </row>
    <row r="139" spans="1:6">
      <c r="A139" t="str">
        <f>CONCATENATE(Fisa!J28," ",Fisa!J9)</f>
        <v xml:space="preserve"> 23/0.8</v>
      </c>
      <c r="B139" t="str">
        <f>Fisa!K28</f>
        <v/>
      </c>
      <c r="D139" t="str">
        <f t="shared" si="3"/>
        <v xml:space="preserve"> 23/0.8</v>
      </c>
    </row>
    <row r="140" spans="1:6">
      <c r="A140" t="str">
        <f>CONCATENATE(Fisa!L28," ",Fisa!L9)</f>
        <v xml:space="preserve"> 23/2</v>
      </c>
      <c r="B140" t="str">
        <f>Fisa!M28</f>
        <v/>
      </c>
      <c r="D140" t="str">
        <f t="shared" si="3"/>
        <v xml:space="preserve"> 23/2</v>
      </c>
    </row>
    <row r="141" spans="1:6">
      <c r="A141" t="str">
        <f>CONCATENATE(Fisa!N28," ",Fisa!N9)</f>
        <v xml:space="preserve"> 43/1</v>
      </c>
      <c r="B141" t="str">
        <f>Fisa!O28</f>
        <v/>
      </c>
      <c r="D141" t="str">
        <f t="shared" si="3"/>
        <v xml:space="preserve"> 43/1</v>
      </c>
    </row>
    <row r="142" spans="1:6">
      <c r="A142" t="str">
        <f>CONCATENATE(Fisa!P28," ",Fisa!P9)</f>
        <v xml:space="preserve"> 43/1.5</v>
      </c>
      <c r="B142" t="str">
        <f>Fisa!Q28</f>
        <v/>
      </c>
      <c r="D142" t="str">
        <f t="shared" si="3"/>
        <v xml:space="preserve"> 43/1.5</v>
      </c>
    </row>
    <row r="143" spans="1:6">
      <c r="A143" t="str">
        <f>CONCATENATE(Fisa!R28," ",Fisa!R9)</f>
        <v xml:space="preserve"> 43/2</v>
      </c>
      <c r="B143" t="str">
        <f>Fisa!S28</f>
        <v/>
      </c>
      <c r="D143" t="str">
        <f t="shared" si="3"/>
        <v xml:space="preserve"> 43/2</v>
      </c>
    </row>
    <row r="144" spans="1:6">
      <c r="A144" t="str">
        <f>Fisa!B30</f>
        <v/>
      </c>
      <c r="B144" t="str">
        <f>Fisa!C30</f>
        <v/>
      </c>
      <c r="C144" t="str">
        <f>Fisa!D30</f>
        <v>mp</v>
      </c>
      <c r="D144" t="str">
        <f>CONCATENATE(A144," ",F144)</f>
        <v xml:space="preserve"> mp</v>
      </c>
      <c r="E144" t="str">
        <f>IF(Fisa!I3="Debitare căntuire", B144*5.8995, B144)</f>
        <v/>
      </c>
      <c r="F144" t="s">
        <v>52</v>
      </c>
    </row>
    <row r="145" spans="1:4">
      <c r="A145" t="str">
        <f>IF(LEFT(Fisa!F32,3)="AGT", CONCATENATE(Fisa!F9," ",Fisa!F32), CONCATENATE(Fisa!F32," ",Fisa!F9))</f>
        <v xml:space="preserve"> 22/0.4</v>
      </c>
      <c r="B145" t="str">
        <f>Fisa!G32</f>
        <v/>
      </c>
      <c r="D145" t="str">
        <f>IF(A145="43/1.5",CONCATENATE(A146,C145),CONCATENATE(A145,C145))</f>
        <v xml:space="preserve"> 22/0.4</v>
      </c>
    </row>
    <row r="146" spans="1:4">
      <c r="A146" t="str">
        <f>IF(LEFT(Fisa!H32,3)="AGT", CONCATENATE(Fisa!H9," ",Fisa!H32), CONCATENATE(Fisa!H32," ",Fisa!H9))</f>
        <v xml:space="preserve"> 22/1</v>
      </c>
      <c r="B146" t="str">
        <f>Fisa!I32</f>
        <v/>
      </c>
      <c r="D146" t="str">
        <f t="shared" ref="D146:D186" si="4">IF(A146="43/1.5",CONCATENATE(A147,C146),CONCATENATE(A146,C146))</f>
        <v xml:space="preserve"> 22/1</v>
      </c>
    </row>
    <row r="147" spans="1:4">
      <c r="A147" t="str">
        <f>IF(LEFT(Fisa!J32,3)="AGT", CONCATENATE(Fisa!J9," ",Fisa!J32), CONCATENATE(Fisa!J32," ",Fisa!J9))</f>
        <v xml:space="preserve"> 23/0.8</v>
      </c>
      <c r="B147" t="str">
        <f>Fisa!K32</f>
        <v/>
      </c>
      <c r="D147" t="str">
        <f t="shared" si="4"/>
        <v xml:space="preserve"> 23/0.8</v>
      </c>
    </row>
    <row r="148" spans="1:4">
      <c r="A148" t="str">
        <f>IF(LEFT(Fisa!L32,3)="AGT", CONCATENATE(Fisa!L9," ",Fisa!L32), CONCATENATE(Fisa!L32," ",Fisa!L9))</f>
        <v xml:space="preserve"> 23/2</v>
      </c>
      <c r="B148" t="str">
        <f>Fisa!M32</f>
        <v/>
      </c>
      <c r="D148" t="str">
        <f t="shared" si="4"/>
        <v xml:space="preserve"> 23/2</v>
      </c>
    </row>
    <row r="149" spans="1:4">
      <c r="A149" t="str">
        <f>IF(LEFT(Fisa!N32,3)="AGT", CONCATENATE(Fisa!N9," ",Fisa!N32), CONCATENATE(Fisa!N32," ",Fisa!N9))</f>
        <v xml:space="preserve"> 43/1</v>
      </c>
      <c r="B149" t="str">
        <f>Fisa!O32</f>
        <v/>
      </c>
      <c r="D149" t="str">
        <f t="shared" si="4"/>
        <v xml:space="preserve"> 43/1</v>
      </c>
    </row>
    <row r="150" spans="1:4">
      <c r="A150" t="str">
        <f>IF(LEFT(Fisa!P32,3)="AGT", CONCATENATE(Fisa!P9," ",Fisa!P32), CONCATENATE(Fisa!P32," ",Fisa!P9))</f>
        <v xml:space="preserve"> 43/1.5</v>
      </c>
      <c r="B150" t="str">
        <f>Fisa!Q32</f>
        <v/>
      </c>
      <c r="D150" t="str">
        <f t="shared" si="4"/>
        <v xml:space="preserve"> 43/1.5</v>
      </c>
    </row>
    <row r="151" spans="1:4">
      <c r="A151" t="str">
        <f>IF(LEFT(Fisa!R32,3)="AGT", CONCATENATE(Fisa!R9," ",Fisa!R32), CONCATENATE(Fisa!R32," ",Fisa!R9))</f>
        <v xml:space="preserve"> 43/2</v>
      </c>
      <c r="B151" t="str">
        <f>Fisa!S32</f>
        <v/>
      </c>
      <c r="D151" t="str">
        <f t="shared" si="4"/>
        <v xml:space="preserve"> 43/2</v>
      </c>
    </row>
    <row r="152" spans="1:4">
      <c r="A152" t="str">
        <f>IF(LEFT(Fisa!F33,3)="AGT", CONCATENATE(Fisa!F9," ",Fisa!F33), CONCATENATE(Fisa!F33," ",Fisa!F9))</f>
        <v xml:space="preserve"> 22/0.4</v>
      </c>
      <c r="B152" t="str">
        <f>Fisa!G33</f>
        <v/>
      </c>
      <c r="D152" t="str">
        <f t="shared" si="4"/>
        <v xml:space="preserve"> 22/0.4</v>
      </c>
    </row>
    <row r="153" spans="1:4">
      <c r="A153" t="str">
        <f>IF(LEFT(Fisa!H33,3)="AGT", CONCATENATE(Fisa!H9," ",Fisa!H33), CONCATENATE(Fisa!H33," ",Fisa!H9))</f>
        <v xml:space="preserve"> 22/1</v>
      </c>
      <c r="B153" t="str">
        <f>Fisa!I33</f>
        <v/>
      </c>
      <c r="D153" t="str">
        <f t="shared" si="4"/>
        <v xml:space="preserve"> 22/1</v>
      </c>
    </row>
    <row r="154" spans="1:4">
      <c r="A154" t="str">
        <f>IF(LEFT(Fisa!J33,3)="AGT", CONCATENATE(Fisa!J9," ",Fisa!J33), CONCATENATE(Fisa!J33," ",Fisa!J9))</f>
        <v xml:space="preserve"> 23/0.8</v>
      </c>
      <c r="B154" t="str">
        <f>Fisa!K33</f>
        <v/>
      </c>
      <c r="D154" t="str">
        <f t="shared" si="4"/>
        <v xml:space="preserve"> 23/0.8</v>
      </c>
    </row>
    <row r="155" spans="1:4">
      <c r="A155" t="str">
        <f>IF(LEFT(Fisa!L33,3)="AGT", CONCATENATE(Fisa!L9," ",Fisa!L33), CONCATENATE(Fisa!L33," ",Fisa!L9))</f>
        <v xml:space="preserve"> 23/2</v>
      </c>
      <c r="B155" t="str">
        <f>Fisa!M33</f>
        <v/>
      </c>
      <c r="D155" t="str">
        <f t="shared" si="4"/>
        <v xml:space="preserve"> 23/2</v>
      </c>
    </row>
    <row r="156" spans="1:4">
      <c r="A156" t="str">
        <f>IF(LEFT(Fisa!N33,3)="AGT", CONCATENATE(Fisa!N9," ",Fisa!N33), CONCATENATE(Fisa!N33," ",Fisa!N9))</f>
        <v xml:space="preserve"> 43/1</v>
      </c>
      <c r="B156" t="str">
        <f>Fisa!O33</f>
        <v/>
      </c>
      <c r="D156" t="str">
        <f t="shared" si="4"/>
        <v xml:space="preserve"> 43/1</v>
      </c>
    </row>
    <row r="157" spans="1:4">
      <c r="A157" t="str">
        <f>IF(LEFT(Fisa!P33,3)="AGT", CONCATENATE(Fisa!P9," ",Fisa!P33), CONCATENATE(Fisa!P33," ",Fisa!P9))</f>
        <v xml:space="preserve"> 43/1.5</v>
      </c>
      <c r="B157" t="str">
        <f>Fisa!Q33</f>
        <v/>
      </c>
      <c r="D157" t="str">
        <f t="shared" si="4"/>
        <v xml:space="preserve"> 43/1.5</v>
      </c>
    </row>
    <row r="158" spans="1:4">
      <c r="A158" t="str">
        <f>IF(LEFT(Fisa!R33,3)="AGT", CONCATENATE(Fisa!R9," ",Fisa!R33), CONCATENATE(Fisa!R33," ",Fisa!R9))</f>
        <v xml:space="preserve"> 43/2</v>
      </c>
      <c r="B158" t="str">
        <f>Fisa!S33</f>
        <v/>
      </c>
      <c r="D158" t="str">
        <f t="shared" si="4"/>
        <v xml:space="preserve"> 43/2</v>
      </c>
    </row>
    <row r="159" spans="1:4">
      <c r="A159" t="str">
        <f>IF(LEFT(Fisa!F34,3)="AGT", CONCATENATE(Fisa!F9," ",Fisa!F34), CONCATENATE(Fisa!F34," ",Fisa!F9))</f>
        <v xml:space="preserve"> 22/0.4</v>
      </c>
      <c r="B159" t="str">
        <f>Fisa!G34</f>
        <v/>
      </c>
      <c r="D159" t="str">
        <f t="shared" si="4"/>
        <v xml:space="preserve"> 22/0.4</v>
      </c>
    </row>
    <row r="160" spans="1:4">
      <c r="A160" t="str">
        <f>IF(LEFT(Fisa!H34,3)="AGT", CONCATENATE(Fisa!H9," ",Fisa!H34), CONCATENATE(Fisa!H34," ",Fisa!H9))</f>
        <v xml:space="preserve"> 22/1</v>
      </c>
      <c r="B160" t="str">
        <f>Fisa!I34</f>
        <v/>
      </c>
      <c r="D160" t="str">
        <f t="shared" si="4"/>
        <v xml:space="preserve"> 22/1</v>
      </c>
    </row>
    <row r="161" spans="1:4">
      <c r="A161" t="str">
        <f>IF(LEFT(Fisa!J34,3)="AGT", CONCATENATE(Fisa!J9," ",Fisa!J34), CONCATENATE(Fisa!J34," ",Fisa!J9))</f>
        <v xml:space="preserve"> 23/0.8</v>
      </c>
      <c r="B161" t="str">
        <f>Fisa!K34</f>
        <v/>
      </c>
      <c r="D161" t="str">
        <f t="shared" si="4"/>
        <v xml:space="preserve"> 23/0.8</v>
      </c>
    </row>
    <row r="162" spans="1:4">
      <c r="A162" t="str">
        <f>IF(LEFT(Fisa!L34,3)="AGT", CONCATENATE(Fisa!L9," ",Fisa!L34), CONCATENATE(Fisa!L34," ",Fisa!L9))</f>
        <v xml:space="preserve"> 23/2</v>
      </c>
      <c r="B162" t="str">
        <f>Fisa!M34</f>
        <v/>
      </c>
      <c r="D162" t="str">
        <f t="shared" si="4"/>
        <v xml:space="preserve"> 23/2</v>
      </c>
    </row>
    <row r="163" spans="1:4">
      <c r="A163" t="str">
        <f>IF(LEFT(Fisa!N34,3)="AGT", CONCATENATE(Fisa!N9," ",Fisa!N34), CONCATENATE(Fisa!N34," ",Fisa!N9))</f>
        <v xml:space="preserve"> 43/1</v>
      </c>
      <c r="B163" t="str">
        <f>Fisa!O34</f>
        <v/>
      </c>
      <c r="D163" t="str">
        <f t="shared" si="4"/>
        <v xml:space="preserve"> 43/1</v>
      </c>
    </row>
    <row r="164" spans="1:4">
      <c r="A164" t="str">
        <f>IF(LEFT(Fisa!P34,3)="AGT", CONCATENATE(Fisa!P9," ",Fisa!P34), CONCATENATE(Fisa!P34," ",Fisa!P9))</f>
        <v xml:space="preserve"> 43/1.5</v>
      </c>
      <c r="B164" t="str">
        <f>Fisa!Q34</f>
        <v/>
      </c>
      <c r="D164" t="str">
        <f t="shared" si="4"/>
        <v xml:space="preserve"> 43/1.5</v>
      </c>
    </row>
    <row r="165" spans="1:4">
      <c r="A165" t="str">
        <f>IF(LEFT(Fisa!R34,3)="AGT", CONCATENATE(Fisa!R9," ",Fisa!R34), CONCATENATE(Fisa!R34," ",Fisa!R9))</f>
        <v xml:space="preserve"> 43/2</v>
      </c>
      <c r="B165" t="str">
        <f>Fisa!S34</f>
        <v/>
      </c>
      <c r="D165" t="str">
        <f t="shared" si="4"/>
        <v xml:space="preserve"> 43/2</v>
      </c>
    </row>
    <row r="166" spans="1:4">
      <c r="A166" t="str">
        <f>IF(LEFT(Fisa!F36,3)="AGT", CONCATENATE(Fisa!F9," ",Fisa!F36), CONCATENATE(Fisa!F36," ",Fisa!F9))</f>
        <v xml:space="preserve"> 22/0.4</v>
      </c>
      <c r="B166" t="str">
        <f>Fisa!G36</f>
        <v/>
      </c>
      <c r="D166" t="str">
        <f t="shared" si="4"/>
        <v xml:space="preserve"> 22/0.4</v>
      </c>
    </row>
    <row r="167" spans="1:4">
      <c r="A167" t="str">
        <f>IF(LEFT(Fisa!H36,3)="AGT", CONCATENATE(Fisa!H9," ",Fisa!H36), CONCATENATE(Fisa!H36," ",Fisa!H9))</f>
        <v xml:space="preserve"> 22/1</v>
      </c>
      <c r="B167" t="str">
        <f>Fisa!I36</f>
        <v/>
      </c>
      <c r="D167" t="str">
        <f t="shared" si="4"/>
        <v xml:space="preserve"> 22/1</v>
      </c>
    </row>
    <row r="168" spans="1:4">
      <c r="A168" t="str">
        <f>IF(LEFT(Fisa!J36,3)="AGT", CONCATENATE(Fisa!J9," ",Fisa!J36), CONCATENATE(Fisa!J36," ",Fisa!J9))</f>
        <v xml:space="preserve"> 23/0.8</v>
      </c>
      <c r="B168" t="str">
        <f>Fisa!K36</f>
        <v/>
      </c>
      <c r="D168" t="str">
        <f t="shared" si="4"/>
        <v xml:space="preserve"> 23/0.8</v>
      </c>
    </row>
    <row r="169" spans="1:4">
      <c r="A169" t="str">
        <f>IF(LEFT(Fisa!L36,3)="AGT", CONCATENATE(Fisa!L9," ",Fisa!L36), CONCATENATE(Fisa!L36," ",Fisa!L9))</f>
        <v xml:space="preserve"> 23/2</v>
      </c>
      <c r="B169" t="str">
        <f>Fisa!M36</f>
        <v/>
      </c>
      <c r="D169" t="str">
        <f t="shared" si="4"/>
        <v xml:space="preserve"> 23/2</v>
      </c>
    </row>
    <row r="170" spans="1:4">
      <c r="A170" t="str">
        <f>IF(LEFT(Fisa!N36,3)="AGT", CONCATENATE(Fisa!N9," ",Fisa!N36), CONCATENATE(Fisa!N36," ",Fisa!N9))</f>
        <v xml:space="preserve"> 43/1</v>
      </c>
      <c r="B170" t="str">
        <f>Fisa!O36</f>
        <v/>
      </c>
      <c r="D170" t="str">
        <f t="shared" si="4"/>
        <v xml:space="preserve"> 43/1</v>
      </c>
    </row>
    <row r="171" spans="1:4">
      <c r="A171" t="str">
        <f>IF(LEFT(Fisa!P36,3)="AGT", CONCATENATE(Fisa!P9," ",Fisa!P36), CONCATENATE(Fisa!P36," ",Fisa!P9))</f>
        <v xml:space="preserve"> 43/1.5</v>
      </c>
      <c r="B171" t="str">
        <f>Fisa!Q36</f>
        <v/>
      </c>
      <c r="D171" t="str">
        <f t="shared" si="4"/>
        <v xml:space="preserve"> 43/1.5</v>
      </c>
    </row>
    <row r="172" spans="1:4">
      <c r="A172" t="str">
        <f>IF(LEFT(Fisa!R36,3)="AGT", CONCATENATE(Fisa!R9," ",Fisa!R36), CONCATENATE(Fisa!R36," ",Fisa!R9))</f>
        <v xml:space="preserve"> 43/2</v>
      </c>
      <c r="B172" t="str">
        <f>Fisa!S36</f>
        <v/>
      </c>
      <c r="D172" t="str">
        <f t="shared" si="4"/>
        <v xml:space="preserve"> 43/2</v>
      </c>
    </row>
    <row r="173" spans="1:4">
      <c r="A173" t="str">
        <f>IF(LEFT(Fisa!F37,3)="AGT", CONCATENATE(Fisa!F9," ",Fisa!F37), CONCATENATE(Fisa!F37," ",Fisa!F9))</f>
        <v xml:space="preserve"> 22/0.4</v>
      </c>
      <c r="B173" t="str">
        <f>Fisa!G37</f>
        <v/>
      </c>
      <c r="D173" t="str">
        <f t="shared" si="4"/>
        <v xml:space="preserve"> 22/0.4</v>
      </c>
    </row>
    <row r="174" spans="1:4">
      <c r="A174" t="str">
        <f>IF(LEFT(Fisa!H37,3)="AGT", CONCATENATE(Fisa!H9," ",Fisa!H37), CONCATENATE(Fisa!H37," ",Fisa!H9))</f>
        <v xml:space="preserve"> 22/1</v>
      </c>
      <c r="B174" t="str">
        <f>Fisa!I37</f>
        <v/>
      </c>
      <c r="D174" t="str">
        <f t="shared" si="4"/>
        <v xml:space="preserve"> 22/1</v>
      </c>
    </row>
    <row r="175" spans="1:4">
      <c r="A175" t="str">
        <f>IF(LEFT(Fisa!J37,3)="AGT", CONCATENATE(Fisa!J9," ",Fisa!J37), CONCATENATE(Fisa!J37," ",Fisa!J9))</f>
        <v xml:space="preserve"> 23/0.8</v>
      </c>
      <c r="B175" t="str">
        <f>Fisa!K37</f>
        <v/>
      </c>
      <c r="D175" t="str">
        <f t="shared" si="4"/>
        <v xml:space="preserve"> 23/0.8</v>
      </c>
    </row>
    <row r="176" spans="1:4">
      <c r="A176" t="str">
        <f>IF(LEFT(Fisa!L37,3)="AGT", CONCATENATE(Fisa!L9," ",Fisa!L37), CONCATENATE(Fisa!L37," ",Fisa!L9))</f>
        <v xml:space="preserve"> 23/2</v>
      </c>
      <c r="B176" t="str">
        <f>Fisa!M37</f>
        <v/>
      </c>
      <c r="D176" t="str">
        <f t="shared" si="4"/>
        <v xml:space="preserve"> 23/2</v>
      </c>
    </row>
    <row r="177" spans="1:4">
      <c r="A177" t="str">
        <f>IF(LEFT(Fisa!N37,3)="AGT", CONCATENATE(Fisa!N9," ",Fisa!N37), CONCATENATE(Fisa!N37," ",Fisa!N9))</f>
        <v xml:space="preserve"> 43/1</v>
      </c>
      <c r="B177" t="str">
        <f>Fisa!O37</f>
        <v/>
      </c>
      <c r="D177" t="str">
        <f t="shared" si="4"/>
        <v xml:space="preserve"> 43/1</v>
      </c>
    </row>
    <row r="178" spans="1:4">
      <c r="A178" t="str">
        <f>IF(LEFT(Fisa!P37,3)="AGT", CONCATENATE(Fisa!P9," ",Fisa!P37), CONCATENATE(Fisa!P37," ",Fisa!P9))</f>
        <v xml:space="preserve"> 43/1.5</v>
      </c>
      <c r="B178" t="str">
        <f>Fisa!Q37</f>
        <v/>
      </c>
      <c r="D178" t="str">
        <f t="shared" si="4"/>
        <v xml:space="preserve"> 43/1.5</v>
      </c>
    </row>
    <row r="179" spans="1:4">
      <c r="A179" t="str">
        <f>IF(LEFT(Fisa!R37,3)="AGT", CONCATENATE(Fisa!R9," ",Fisa!R37), CONCATENATE(Fisa!R37," ",Fisa!R9))</f>
        <v xml:space="preserve"> 43/2</v>
      </c>
      <c r="B179" t="str">
        <f>Fisa!S37</f>
        <v/>
      </c>
      <c r="D179" t="str">
        <f t="shared" si="4"/>
        <v xml:space="preserve"> 43/2</v>
      </c>
    </row>
    <row r="180" spans="1:4">
      <c r="A180" t="str">
        <f>IF(LEFT(Fisa!F38,3)="AGT", CONCATENATE(Fisa!F9," ",Fisa!F38), CONCATENATE(Fisa!F38," ",Fisa!F9))</f>
        <v xml:space="preserve"> 22/0.4</v>
      </c>
      <c r="B180" t="str">
        <f>Fisa!G38</f>
        <v/>
      </c>
      <c r="D180" t="str">
        <f t="shared" si="4"/>
        <v xml:space="preserve"> 22/0.4</v>
      </c>
    </row>
    <row r="181" spans="1:4">
      <c r="A181" t="str">
        <f>IF(LEFT(Fisa!H38,3)="AGT", CONCATENATE(Fisa!H9," ",Fisa!H38), CONCATENATE(Fisa!H38," ",Fisa!H9))</f>
        <v xml:space="preserve"> 22/1</v>
      </c>
      <c r="B181" t="str">
        <f>Fisa!I38</f>
        <v/>
      </c>
      <c r="D181" t="str">
        <f t="shared" si="4"/>
        <v xml:space="preserve"> 22/1</v>
      </c>
    </row>
    <row r="182" spans="1:4">
      <c r="A182" t="str">
        <f>IF(LEFT(Fisa!J38,3)="AGT", CONCATENATE(Fisa!J9," ",Fisa!J38), CONCATENATE(Fisa!J38," ",Fisa!J9))</f>
        <v xml:space="preserve"> 23/0.8</v>
      </c>
      <c r="B182" t="str">
        <f>Fisa!K38</f>
        <v/>
      </c>
      <c r="D182" t="str">
        <f t="shared" si="4"/>
        <v xml:space="preserve"> 23/0.8</v>
      </c>
    </row>
    <row r="183" spans="1:4">
      <c r="A183" t="str">
        <f>IF(LEFT(Fisa!L38,3)="AGT", CONCATENATE(Fisa!L9," ",Fisa!L38), CONCATENATE(Fisa!L38," ",Fisa!L9))</f>
        <v xml:space="preserve"> 23/2</v>
      </c>
      <c r="B183" t="str">
        <f>Fisa!M38</f>
        <v/>
      </c>
      <c r="D183" t="str">
        <f t="shared" si="4"/>
        <v xml:space="preserve"> 23/2</v>
      </c>
    </row>
    <row r="184" spans="1:4">
      <c r="A184" t="str">
        <f>IF(LEFT(Fisa!N38,3)="AGT", CONCATENATE(Fisa!N9," ",Fisa!N38), CONCATENATE(Fisa!N38," ",Fisa!N9))</f>
        <v xml:space="preserve"> 43/1</v>
      </c>
      <c r="B184" t="str">
        <f>Fisa!O38</f>
        <v/>
      </c>
      <c r="D184" t="str">
        <f t="shared" si="4"/>
        <v xml:space="preserve"> 43/1</v>
      </c>
    </row>
    <row r="185" spans="1:4">
      <c r="A185" t="str">
        <f>IF(LEFT(Fisa!P38,3)="AGT", CONCATENATE(Fisa!P9," ",Fisa!P38), CONCATENATE(Fisa!P38," ",Fisa!P9))</f>
        <v xml:space="preserve"> 43/1.5</v>
      </c>
      <c r="B185" t="str">
        <f>Fisa!Q38</f>
        <v/>
      </c>
      <c r="D185" t="str">
        <f t="shared" si="4"/>
        <v xml:space="preserve"> 43/1.5</v>
      </c>
    </row>
    <row r="186" spans="1:4">
      <c r="A186" t="str">
        <f>IF(LEFT(Fisa!R38,3)="AGT", CONCATENATE(Fisa!R9," ",Fisa!R38), CONCATENATE(Fisa!R38," ",Fisa!R9))</f>
        <v xml:space="preserve"> 43/2</v>
      </c>
      <c r="B186" t="str">
        <f>Fisa!S38</f>
        <v/>
      </c>
      <c r="D186" t="str">
        <f t="shared" si="4"/>
        <v xml:space="preserve"> 43/2</v>
      </c>
    </row>
    <row r="187" spans="1:4">
      <c r="A187" t="s">
        <v>33</v>
      </c>
      <c r="B187" t="str">
        <f>Fisa!C43</f>
        <v/>
      </c>
      <c r="D187" t="str">
        <f t="shared" ref="D187:D191" si="5">CONCATENATE(A187,C187)</f>
        <v>CUT BLAT 600</v>
      </c>
    </row>
    <row r="188" spans="1:4">
      <c r="A188" t="s">
        <v>31</v>
      </c>
      <c r="B188" t="str">
        <f>Fisa!C44</f>
        <v/>
      </c>
      <c r="D188" t="str">
        <f t="shared" si="5"/>
        <v>CUT BLAT 920</v>
      </c>
    </row>
    <row r="189" spans="1:4">
      <c r="A189" t="s">
        <v>32</v>
      </c>
      <c r="B189" t="str">
        <f>Fisa!C45</f>
        <v/>
      </c>
      <c r="D189" t="str">
        <f t="shared" si="5"/>
        <v>CUT PS</v>
      </c>
    </row>
    <row r="190" spans="1:4">
      <c r="A190" t="s">
        <v>20</v>
      </c>
      <c r="B190" t="str">
        <f>Fisa!C46</f>
        <v/>
      </c>
      <c r="D190" t="str">
        <f t="shared" si="5"/>
        <v>CUT HDF</v>
      </c>
    </row>
    <row r="191" spans="1:4">
      <c r="A191" t="s">
        <v>21</v>
      </c>
      <c r="B191" t="str">
        <f>Fisa!C47</f>
        <v/>
      </c>
      <c r="D191" t="str">
        <f t="shared" si="5"/>
        <v>CUT MDF</v>
      </c>
    </row>
    <row r="192" spans="1:4">
      <c r="A192" t="s">
        <v>22</v>
      </c>
      <c r="B192" t="str">
        <f>Fisa!C41</f>
        <v/>
      </c>
      <c r="D192" t="str">
        <f>CONCATENATE(A192,C192)</f>
        <v>CUT PAL</v>
      </c>
    </row>
    <row r="193" spans="1:4">
      <c r="A193" t="s">
        <v>92</v>
      </c>
      <c r="B193" t="str">
        <f>Fisa!C42</f>
        <v/>
      </c>
      <c r="D193" t="str">
        <f t="shared" ref="D193:D194" si="6">CONCATENATE(A193,C193)</f>
        <v>CUT CLEAF</v>
      </c>
    </row>
    <row r="194" spans="1:4">
      <c r="A194" t="s">
        <v>23</v>
      </c>
      <c r="B194" t="str">
        <f>Fisa!C48</f>
        <v/>
      </c>
      <c r="D194" t="str">
        <f t="shared" si="6"/>
        <v>DUBL_PAL</v>
      </c>
    </row>
    <row r="195" spans="1:4">
      <c r="A195" t="s">
        <v>90</v>
      </c>
      <c r="B195">
        <f>Fisa!G41</f>
        <v>0</v>
      </c>
      <c r="D195" t="str">
        <f t="shared" ref="D195:D200" si="7">CONCATENATE(A195,C195)</f>
        <v>Cant 22/0.4</v>
      </c>
    </row>
    <row r="196" spans="1:4">
      <c r="A196" t="s">
        <v>30</v>
      </c>
      <c r="B196">
        <f>Fisa!I41</f>
        <v>0</v>
      </c>
      <c r="D196" t="str">
        <f t="shared" si="7"/>
        <v>Cant 22/1</v>
      </c>
    </row>
    <row r="197" spans="1:4">
      <c r="A197" t="s">
        <v>24</v>
      </c>
      <c r="B197">
        <f>Fisa!K41</f>
        <v>0</v>
      </c>
      <c r="D197" t="str">
        <f t="shared" si="7"/>
        <v>Cant 23/0.8</v>
      </c>
    </row>
    <row r="198" spans="1:4">
      <c r="A198" t="s">
        <v>25</v>
      </c>
      <c r="B198">
        <f>Fisa!M41</f>
        <v>0</v>
      </c>
      <c r="D198" t="str">
        <f t="shared" si="7"/>
        <v>Cant 23/2</v>
      </c>
    </row>
    <row r="199" spans="1:4">
      <c r="A199" t="s">
        <v>91</v>
      </c>
      <c r="B199">
        <f>Fisa!O41</f>
        <v>0</v>
      </c>
      <c r="D199" t="str">
        <f t="shared" si="7"/>
        <v>Cant 43/1</v>
      </c>
    </row>
    <row r="200" spans="1:4">
      <c r="A200" t="s">
        <v>26</v>
      </c>
      <c r="B200">
        <f>Fisa!S41+Fisa!Q41</f>
        <v>0</v>
      </c>
      <c r="D200" t="str">
        <f t="shared" si="7"/>
        <v>Cant 43/2</v>
      </c>
    </row>
    <row r="201" spans="1:4">
      <c r="A201" t="s">
        <v>27</v>
      </c>
      <c r="B201">
        <f>Fisa!K47</f>
        <v>1</v>
      </c>
      <c r="D201" t="str">
        <f>CONCATENATE(A201,C201)</f>
        <v>CHLTTRMANIP</v>
      </c>
    </row>
    <row r="202" spans="1:4">
      <c r="A202" t="str">
        <f>Fisa!F47</f>
        <v>Proiectare</v>
      </c>
      <c r="B202" t="str">
        <f>Fisa!G47</f>
        <v>N/A</v>
      </c>
      <c r="D202" t="s">
        <v>35</v>
      </c>
    </row>
  </sheetData>
  <autoFilter ref="A1:B201" xr:uid="{53B77CD8-6205-4A7A-8772-BC0174391D06}"/>
  <pageMargins left="0.7" right="0.7" top="0.75" bottom="0.75" header="0.3" footer="0.3"/>
  <pageSetup paperSize="9" orientation="portrait" horizontalDpi="300" verticalDpi="300" r:id="rId1"/>
  <ignoredErrors>
    <ignoredError sqref="D144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405C2-871E-464E-9AC4-86BCD6339BBE}">
  <dimension ref="A1:AC91"/>
  <sheetViews>
    <sheetView topLeftCell="A46" workbookViewId="0">
      <selection activeCell="F57" sqref="F57"/>
    </sheetView>
  </sheetViews>
  <sheetFormatPr defaultColWidth="9.140625" defaultRowHeight="15"/>
  <cols>
    <col min="1" max="1" width="12.7109375" style="4" customWidth="1"/>
    <col min="2" max="2" width="15.85546875" style="3" bestFit="1" customWidth="1"/>
    <col min="3" max="3" width="11" style="3" customWidth="1"/>
    <col min="4" max="6" width="10.42578125" style="3" customWidth="1"/>
    <col min="7" max="7" width="10.28515625" style="3" customWidth="1"/>
    <col min="8" max="8" width="10.85546875" style="3" customWidth="1"/>
    <col min="9" max="9" width="11.7109375" style="3" customWidth="1"/>
    <col min="10" max="12" width="9.140625" style="3"/>
    <col min="13" max="16384" width="9.140625" style="4"/>
  </cols>
  <sheetData>
    <row r="1" spans="1:12" customFormat="1">
      <c r="A1" s="242" t="s">
        <v>14</v>
      </c>
      <c r="B1" s="242"/>
      <c r="C1" s="242"/>
      <c r="D1" s="242"/>
      <c r="E1" s="242"/>
      <c r="F1" s="242"/>
      <c r="G1" s="242"/>
      <c r="H1" s="242"/>
      <c r="I1" s="242"/>
      <c r="J1" s="242"/>
      <c r="K1" s="12"/>
      <c r="L1" s="5"/>
    </row>
    <row r="2" spans="1:12" customFormat="1">
      <c r="B2" s="5"/>
      <c r="C2" s="5"/>
      <c r="D2" s="5"/>
      <c r="E2" s="5"/>
      <c r="F2" s="5"/>
      <c r="G2" s="5"/>
      <c r="H2" s="5"/>
      <c r="I2" s="5"/>
      <c r="J2" s="5"/>
      <c r="K2" s="5"/>
      <c r="L2" s="5"/>
    </row>
    <row r="3" spans="1:12" customFormat="1">
      <c r="A3" s="6" t="s">
        <v>0</v>
      </c>
      <c r="B3" s="243">
        <f>Fisa!B3:D3</f>
        <v>0</v>
      </c>
      <c r="C3" s="243"/>
      <c r="D3" s="243"/>
      <c r="E3" s="243"/>
      <c r="F3" s="243"/>
      <c r="G3" s="243"/>
      <c r="H3" s="5"/>
      <c r="I3" s="5"/>
      <c r="J3" s="5"/>
      <c r="K3" s="5"/>
      <c r="L3" s="5"/>
    </row>
    <row r="4" spans="1:12" customFormat="1">
      <c r="A4" s="6" t="s">
        <v>7</v>
      </c>
      <c r="B4" s="244">
        <f>Fisa!B6</f>
        <v>0</v>
      </c>
      <c r="C4" s="244"/>
      <c r="D4" s="5"/>
      <c r="E4" s="5"/>
      <c r="F4" s="5"/>
      <c r="G4" s="5"/>
      <c r="H4" s="5"/>
      <c r="I4" s="5"/>
      <c r="J4" s="5"/>
      <c r="K4" s="5"/>
      <c r="L4" s="5"/>
    </row>
    <row r="5" spans="1:12" customFormat="1">
      <c r="A5" s="7" t="s">
        <v>15</v>
      </c>
      <c r="B5" s="14" t="e">
        <f>#REF!</f>
        <v>#REF!</v>
      </c>
      <c r="C5" s="13"/>
      <c r="D5" s="5"/>
      <c r="E5" s="5"/>
      <c r="F5" s="5"/>
      <c r="G5" s="5"/>
      <c r="H5" s="5"/>
      <c r="I5" s="5"/>
      <c r="J5" s="5"/>
      <c r="K5" s="5"/>
      <c r="L5" s="5"/>
    </row>
    <row r="6" spans="1:12" customFormat="1">
      <c r="A6" s="7" t="s">
        <v>8</v>
      </c>
      <c r="B6" s="9" t="e">
        <f>#REF!</f>
        <v>#REF!</v>
      </c>
      <c r="C6" s="5"/>
      <c r="D6" s="5"/>
      <c r="E6" s="5"/>
      <c r="F6" s="5"/>
      <c r="G6" s="5"/>
      <c r="H6" s="5"/>
      <c r="I6" s="5"/>
      <c r="J6" s="5"/>
      <c r="K6" s="5"/>
      <c r="L6" s="5"/>
    </row>
    <row r="7" spans="1:12" customFormat="1">
      <c r="A7" s="6" t="s">
        <v>9</v>
      </c>
      <c r="B7" s="8" t="s">
        <v>2</v>
      </c>
      <c r="C7" s="8" t="str">
        <f>IF(Fisa!I3="Debitare căntuire", "Coli", "Mp")</f>
        <v>Mp</v>
      </c>
      <c r="D7" s="5"/>
      <c r="E7" s="5"/>
      <c r="F7" s="5"/>
      <c r="G7" s="5"/>
      <c r="H7" s="5"/>
      <c r="I7" s="5"/>
      <c r="J7" s="5"/>
      <c r="K7" s="5"/>
      <c r="L7" s="5"/>
    </row>
    <row r="8" spans="1:12" customFormat="1">
      <c r="B8" s="10" t="str">
        <f>Fisa!B11</f>
        <v/>
      </c>
      <c r="C8" s="10" t="str">
        <f>Fisa!C11</f>
        <v/>
      </c>
      <c r="D8" s="5"/>
      <c r="E8" s="5"/>
      <c r="F8" s="5"/>
      <c r="G8" s="5"/>
      <c r="H8" s="5"/>
      <c r="I8" s="5"/>
      <c r="J8" s="5"/>
      <c r="K8" s="5"/>
      <c r="L8" s="5"/>
    </row>
    <row r="9" spans="1:12" customFormat="1">
      <c r="B9" s="8" t="str">
        <f>Fisa!B12</f>
        <v/>
      </c>
      <c r="C9" s="8" t="str">
        <f>Fisa!C12</f>
        <v/>
      </c>
      <c r="D9" s="5"/>
      <c r="E9" s="5"/>
      <c r="F9" s="5"/>
      <c r="G9" s="5"/>
      <c r="H9" s="5"/>
      <c r="I9" s="5"/>
      <c r="J9" s="5"/>
      <c r="K9" s="5"/>
      <c r="L9" s="5"/>
    </row>
    <row r="10" spans="1:12" customFormat="1">
      <c r="B10" s="8" t="str">
        <f>Fisa!B13</f>
        <v/>
      </c>
      <c r="C10" s="8" t="str">
        <f>Fisa!C13</f>
        <v/>
      </c>
      <c r="D10" s="5"/>
      <c r="E10" s="5"/>
      <c r="F10" s="5"/>
      <c r="G10" s="5"/>
      <c r="H10" s="5"/>
      <c r="I10" s="5"/>
      <c r="J10" s="5"/>
      <c r="K10" s="5"/>
      <c r="L10" s="5"/>
    </row>
    <row r="11" spans="1:12" customFormat="1">
      <c r="B11" s="8" t="str">
        <f>Fisa!B14</f>
        <v/>
      </c>
      <c r="C11" s="8" t="str">
        <f>Fisa!C14</f>
        <v/>
      </c>
      <c r="D11" s="5"/>
      <c r="E11" s="5"/>
      <c r="F11" s="5"/>
      <c r="G11" s="5"/>
      <c r="H11" s="5"/>
      <c r="I11" s="5"/>
      <c r="J11" s="5"/>
      <c r="K11" s="5"/>
      <c r="L11" s="5"/>
    </row>
    <row r="12" spans="1:12" customFormat="1">
      <c r="B12" s="8" t="str">
        <f>Fisa!B15</f>
        <v/>
      </c>
      <c r="C12" s="8" t="str">
        <f>Fisa!C15</f>
        <v/>
      </c>
      <c r="D12" s="5"/>
      <c r="E12" s="5"/>
      <c r="F12" s="5"/>
      <c r="G12" s="5"/>
      <c r="H12" s="5"/>
      <c r="I12" s="5"/>
      <c r="J12" s="5"/>
      <c r="K12" s="5"/>
      <c r="L12" s="5"/>
    </row>
    <row r="13" spans="1:12" customFormat="1">
      <c r="B13" s="8" t="str">
        <f>Fisa!B16</f>
        <v/>
      </c>
      <c r="C13" s="8" t="str">
        <f>Fisa!C16</f>
        <v/>
      </c>
      <c r="D13" s="5"/>
      <c r="E13" s="5"/>
      <c r="F13" s="5"/>
      <c r="G13" s="5"/>
      <c r="H13" s="5"/>
      <c r="I13" s="5"/>
      <c r="J13" s="5"/>
      <c r="K13" s="5"/>
      <c r="L13" s="5"/>
    </row>
    <row r="14" spans="1:12" customFormat="1">
      <c r="B14" s="8" t="str">
        <f>Fisa!B17</f>
        <v/>
      </c>
      <c r="C14" s="8" t="str">
        <f>Fisa!C17</f>
        <v/>
      </c>
      <c r="D14" s="5"/>
      <c r="E14" s="5"/>
      <c r="F14" s="5"/>
      <c r="G14" s="5"/>
      <c r="H14" s="5"/>
      <c r="I14" s="5"/>
      <c r="J14" s="5"/>
      <c r="K14" s="5"/>
      <c r="L14" s="5"/>
    </row>
    <row r="15" spans="1:12" customFormat="1">
      <c r="B15" s="8" t="str">
        <f>Fisa!B18</f>
        <v/>
      </c>
      <c r="C15" s="8" t="str">
        <f>Fisa!C18</f>
        <v/>
      </c>
      <c r="D15" s="5"/>
      <c r="E15" s="5"/>
      <c r="F15" s="5"/>
      <c r="G15" s="5"/>
      <c r="H15" s="5"/>
      <c r="I15" s="5"/>
      <c r="J15" s="5"/>
      <c r="K15" s="5"/>
      <c r="L15" s="5"/>
    </row>
    <row r="16" spans="1:12" customFormat="1">
      <c r="B16" s="8" t="str">
        <f>Fisa!B19</f>
        <v/>
      </c>
      <c r="C16" s="8" t="str">
        <f>Fisa!C19</f>
        <v/>
      </c>
      <c r="D16" s="5"/>
      <c r="E16" s="5"/>
      <c r="F16" s="5"/>
      <c r="G16" s="5"/>
      <c r="H16" s="5"/>
      <c r="I16" s="5"/>
      <c r="J16" s="5"/>
      <c r="K16" s="5"/>
      <c r="L16" s="5"/>
    </row>
    <row r="17" spans="1:12" customFormat="1">
      <c r="B17" s="8" t="str">
        <f>Fisa!B20</f>
        <v/>
      </c>
      <c r="C17" s="8" t="str">
        <f>Fisa!C20</f>
        <v/>
      </c>
      <c r="D17" s="5"/>
      <c r="E17" s="5"/>
      <c r="F17" s="5"/>
      <c r="G17" s="5"/>
      <c r="H17" s="5"/>
      <c r="I17" s="5"/>
      <c r="J17" s="5"/>
      <c r="K17" s="5"/>
      <c r="L17" s="5"/>
    </row>
    <row r="18" spans="1:12" customFormat="1">
      <c r="B18" s="8" t="str">
        <f>Fisa!B21</f>
        <v/>
      </c>
      <c r="C18" s="8" t="str">
        <f>Fisa!C21</f>
        <v/>
      </c>
      <c r="D18" s="5"/>
      <c r="E18" s="5"/>
      <c r="F18" s="5"/>
      <c r="G18" s="5"/>
      <c r="H18" s="5"/>
      <c r="I18" s="5"/>
      <c r="J18" s="5"/>
      <c r="K18" s="5"/>
      <c r="L18" s="5"/>
    </row>
    <row r="19" spans="1:12" customFormat="1">
      <c r="B19" s="8" t="str">
        <f>Fisa!B22</f>
        <v/>
      </c>
      <c r="C19" s="8" t="str">
        <f>Fisa!C22</f>
        <v/>
      </c>
      <c r="D19" s="5"/>
      <c r="E19" s="5"/>
      <c r="F19" s="5"/>
      <c r="G19" s="5"/>
      <c r="H19" s="5"/>
      <c r="I19" s="5"/>
      <c r="J19" s="5"/>
      <c r="K19" s="5"/>
      <c r="L19" s="5"/>
    </row>
    <row r="20" spans="1:12" customFormat="1">
      <c r="B20" s="8" t="str">
        <f>Fisa!B24</f>
        <v/>
      </c>
      <c r="C20" s="8" t="str">
        <f>Fisa!C24</f>
        <v/>
      </c>
      <c r="D20" s="5"/>
      <c r="E20" s="5"/>
      <c r="F20" s="5"/>
      <c r="G20" s="5"/>
      <c r="H20" s="5"/>
      <c r="I20" s="5"/>
      <c r="J20" s="5"/>
      <c r="K20" s="5"/>
      <c r="L20" s="5"/>
    </row>
    <row r="21" spans="1:12" customFormat="1">
      <c r="B21" s="8" t="str">
        <f>Fisa!B25</f>
        <v/>
      </c>
      <c r="C21" s="8" t="str">
        <f>Fisa!C25</f>
        <v/>
      </c>
      <c r="D21" s="5"/>
      <c r="E21" s="5"/>
      <c r="F21" s="5"/>
      <c r="G21" s="5"/>
      <c r="H21" s="5"/>
      <c r="I21" s="5"/>
      <c r="J21" s="5"/>
      <c r="K21" s="5"/>
      <c r="L21" s="5"/>
    </row>
    <row r="22" spans="1:12" customFormat="1">
      <c r="B22" s="8" t="str">
        <f>Fisa!B26</f>
        <v/>
      </c>
      <c r="C22" s="8" t="str">
        <f>Fisa!C26</f>
        <v/>
      </c>
      <c r="D22" s="5"/>
      <c r="E22" s="5"/>
      <c r="F22" s="5"/>
      <c r="G22" s="5"/>
      <c r="H22" s="5"/>
      <c r="I22" s="5"/>
      <c r="J22" s="5"/>
      <c r="K22" s="5"/>
      <c r="L22" s="5"/>
    </row>
    <row r="23" spans="1:12" customFormat="1">
      <c r="B23" s="8" t="str">
        <f>Fisa!B27</f>
        <v/>
      </c>
      <c r="C23" s="8" t="str">
        <f>Fisa!C27</f>
        <v/>
      </c>
      <c r="D23" s="5"/>
      <c r="E23" s="5"/>
      <c r="F23" s="5"/>
      <c r="G23" s="5"/>
      <c r="H23" s="5"/>
      <c r="I23" s="5"/>
      <c r="J23" s="5"/>
      <c r="K23" s="5"/>
      <c r="L23" s="5"/>
    </row>
    <row r="24" spans="1:12" customFormat="1">
      <c r="B24" s="8" t="str">
        <f>Fisa!B28</f>
        <v/>
      </c>
      <c r="C24" s="8" t="str">
        <f>Fisa!C28</f>
        <v/>
      </c>
      <c r="D24" s="5"/>
      <c r="E24" s="5"/>
      <c r="F24" s="5"/>
      <c r="G24" s="5"/>
      <c r="H24" s="5"/>
      <c r="I24" s="5"/>
      <c r="J24" s="5"/>
      <c r="K24" s="5"/>
      <c r="L24" s="5"/>
    </row>
    <row r="25" spans="1:12" customFormat="1">
      <c r="A25" s="6" t="s">
        <v>5</v>
      </c>
      <c r="B25" s="8" t="s">
        <v>2</v>
      </c>
      <c r="C25" s="8" t="s">
        <v>74</v>
      </c>
      <c r="D25" s="8" t="s">
        <v>93</v>
      </c>
      <c r="E25" s="8" t="s">
        <v>4</v>
      </c>
      <c r="F25" s="8" t="s">
        <v>75</v>
      </c>
      <c r="G25" s="8" t="s">
        <v>94</v>
      </c>
      <c r="H25" s="8" t="s">
        <v>76</v>
      </c>
      <c r="I25" s="8" t="s">
        <v>77</v>
      </c>
      <c r="J25" s="5"/>
      <c r="K25" s="5"/>
      <c r="L25" s="5"/>
    </row>
    <row r="26" spans="1:12" customFormat="1">
      <c r="B26" s="10" t="e" cm="1" vm="1">
        <f t="array" ref="B26">_xlfn._xlws.FILTER(Fisa!$F$11:$F$38, Fisa!$F$11:$F$38 &lt;&gt; "")</f>
        <v>#VALUE!</v>
      </c>
      <c r="C26" s="10" t="str" cm="1">
        <f t="array" ref="C26">IF(ISBLANK(B26),"",IFERROR(INDEX(Fisa!$G$11:$G$38,_xlfn.AGGREGATE(15,6,(ROW(Fisa!$F$11:$F$38)-10)/(Fisa!$F$11:$F$38=B26),COUNTIF($B$26:B26,B26))),""))</f>
        <v/>
      </c>
      <c r="D26" s="10" t="str" cm="1">
        <f t="array" ref="D26">IF(ISBLANK(B26),"",IFERROR(INDEX(Fisa!$I$11:$I$38,_xlfn.AGGREGATE(15,6,(ROW(Fisa!$H$11:$H$38)-10)/(Fisa!$H$11:$H$38=B26),COUNTIF($B$26:B26,B26))),""))</f>
        <v/>
      </c>
      <c r="E26" s="10" t="str" cm="1">
        <f t="array" ref="E26">IF(ISBLANK(B26),"",IFERROR(INDEX(Fisa!$K$11:$K$38,_xlfn.AGGREGATE(15,6,(ROW(Fisa!$J$11:$J$38)-10)/(Fisa!$J$11:$J$38=B26),COUNTIF($B$26:B26,B26))),""))</f>
        <v/>
      </c>
      <c r="F26" s="10" t="str" cm="1">
        <f t="array" ref="F26">IF(ISBLANK(B26),"",IFERROR(INDEX(Fisa!$M$11:$M$38,_xlfn.AGGREGATE(15,6,(ROW(Fisa!$L$11:$L$38)-10)/(Fisa!$L$11:$L$38=B26),COUNTIF($B$26:B26,B26))),""))</f>
        <v/>
      </c>
      <c r="G26" s="10" t="str" cm="1">
        <f t="array" ref="G26">IF(ISBLANK(B26),"",IFERROR(INDEX(Fisa!$O$11:$O$38,_xlfn.AGGREGATE(15,6,(ROW(Fisa!$N$11:$N$38)-10)/(Fisa!$N$11:$N$38=B26),COUNTIF($B$26:B26,B26))),""))</f>
        <v/>
      </c>
      <c r="H26" s="10" t="str" cm="1">
        <f t="array" ref="H26">IF(ISBLANK(B26),"",IFERROR(INDEX(Fisa!$Q$11:$Q$38,_xlfn.AGGREGATE(15,6,(ROW(Fisa!$P$11:$P$38)-10)/(Fisa!$P$11:$P$38=B26),COUNTIF($B$26:B26,B26))),""))</f>
        <v/>
      </c>
      <c r="I26" s="10" t="str" cm="1">
        <f t="array" ref="I26">IF(ISBLANK(B26),"",IFERROR(INDEX(Fisa!$S$11:$S$38,_xlfn.AGGREGATE(15,6,(ROW(Fisa!$R$11:$R$38)-10)/(Fisa!$R$11:$R$38=B26),COUNTIF($B$26:B26,B26))),""))</f>
        <v/>
      </c>
      <c r="J26" s="5"/>
      <c r="K26" s="5"/>
      <c r="L26" s="5"/>
    </row>
    <row r="27" spans="1:12" customFormat="1">
      <c r="B27" s="10"/>
      <c r="C27" s="10" t="str" cm="1">
        <f t="array" ref="C27">IF(ISBLANK(B27),"",IFERROR(INDEX(Fisa!$G$11:$G$38,_xlfn.AGGREGATE(15,6,(ROW(Fisa!$F$11:$F$38)-10)/(Fisa!$F$11:$F$38=B27),COUNTIF($B$26:B27,B27))),""))</f>
        <v/>
      </c>
      <c r="D27" s="10" t="str" cm="1">
        <f t="array" ref="D27">IF(ISBLANK(B27),"",IFERROR(INDEX(Fisa!$I$11:$I$38,_xlfn.AGGREGATE(15,6,(ROW(Fisa!$H$11:$H$38)-10)/(Fisa!$H$11:$H$38=B27),COUNTIF($B$26:B27,B27))),""))</f>
        <v/>
      </c>
      <c r="E27" s="10" t="str" cm="1">
        <f t="array" ref="E27">IF(ISBLANK(B27),"",IFERROR(INDEX(Fisa!$K$11:$K$38,_xlfn.AGGREGATE(15,6,(ROW(Fisa!$J$11:$J$38)-10)/(Fisa!$J$11:$J$38=B27),COUNTIF($B$26:B27,B27))),""))</f>
        <v/>
      </c>
      <c r="F27" s="10" t="str" cm="1">
        <f t="array" ref="F27">IF(ISBLANK(B27),"",IFERROR(INDEX(Fisa!$M$11:$M$38,_xlfn.AGGREGATE(15,6,(ROW(Fisa!$L$11:$L$38)-10)/(Fisa!$L$11:$L$38=B27),COUNTIF($B$26:B27,B27))),""))</f>
        <v/>
      </c>
      <c r="G27" s="10" t="str" cm="1">
        <f t="array" ref="G27">IF(ISBLANK(B27),"",IFERROR(INDEX(Fisa!$O$11:$O$38,_xlfn.AGGREGATE(15,6,(ROW(Fisa!$N$11:$N$38)-10)/(Fisa!$N$11:$N$38=B27),COUNTIF($B$26:B27,B27))),""))</f>
        <v/>
      </c>
      <c r="H27" s="10" t="str" cm="1">
        <f t="array" ref="H27">IF(ISBLANK(B27),"",IFERROR(INDEX(Fisa!$Q$11:$Q$38,_xlfn.AGGREGATE(15,6,(ROW(Fisa!$P$11:$P$38)-10)/(Fisa!$P$11:$P$38=B27),COUNTIF($B$26:B27,B27))),""))</f>
        <v/>
      </c>
      <c r="I27" s="10" t="str" cm="1">
        <f t="array" ref="I27">IF(ISBLANK(B27),"",IFERROR(INDEX(Fisa!$S$11:$S$38,_xlfn.AGGREGATE(15,6,(ROW(Fisa!$R$11:$R$38)-10)/(Fisa!$R$11:$R$38=B27),COUNTIF($B$26:B27,B27))),""))</f>
        <v/>
      </c>
      <c r="J27" s="5"/>
      <c r="K27" s="5"/>
      <c r="L27" s="5"/>
    </row>
    <row r="28" spans="1:12" customFormat="1">
      <c r="B28" s="10"/>
      <c r="C28" s="10" t="str" cm="1">
        <f t="array" ref="C28">IF(ISBLANK(B28),"",IFERROR(INDEX(Fisa!$G$11:$G$38,_xlfn.AGGREGATE(15,6,(ROW(Fisa!$F$11:$F$38)-10)/(Fisa!$F$11:$F$38=B28),COUNTIF($B$26:B28,B28))),""))</f>
        <v/>
      </c>
      <c r="D28" s="10" t="str" cm="1">
        <f t="array" ref="D28">IF(ISBLANK(B28),"",IFERROR(INDEX(Fisa!$I$11:$I$38,_xlfn.AGGREGATE(15,6,(ROW(Fisa!$H$11:$H$38)-10)/(Fisa!$H$11:$H$38=B28),COUNTIF($B$26:B28,B28))),""))</f>
        <v/>
      </c>
      <c r="E28" s="10" t="str" cm="1">
        <f t="array" ref="E28">IF(ISBLANK(B28),"",IFERROR(INDEX(Fisa!$K$11:$K$38,_xlfn.AGGREGATE(15,6,(ROW(Fisa!$J$11:$J$38)-10)/(Fisa!$J$11:$J$38=B28),COUNTIF($B$26:B28,B28))),""))</f>
        <v/>
      </c>
      <c r="F28" s="10" t="str" cm="1">
        <f t="array" ref="F28">IF(ISBLANK(B28),"",IFERROR(INDEX(Fisa!$M$11:$M$38,_xlfn.AGGREGATE(15,6,(ROW(Fisa!$L$11:$L$38)-10)/(Fisa!$L$11:$L$38=B28),COUNTIF($B$26:B28,B28))),""))</f>
        <v/>
      </c>
      <c r="G28" s="10" t="str" cm="1">
        <f t="array" ref="G28">IF(ISBLANK(B28),"",IFERROR(INDEX(Fisa!$O$11:$O$38,_xlfn.AGGREGATE(15,6,(ROW(Fisa!$N$11:$N$38)-10)/(Fisa!$N$11:$N$38=B28),COUNTIF($B$26:B28,B28))),""))</f>
        <v/>
      </c>
      <c r="H28" s="10" t="str" cm="1">
        <f t="array" ref="H28">IF(ISBLANK(B28),"",IFERROR(INDEX(Fisa!$Q$11:$Q$38,_xlfn.AGGREGATE(15,6,(ROW(Fisa!$P$11:$P$38)-10)/(Fisa!$P$11:$P$38=B28),COUNTIF($B$26:B28,B28))),""))</f>
        <v/>
      </c>
      <c r="I28" s="10" t="str" cm="1">
        <f t="array" ref="I28">IF(ISBLANK(B28),"",IFERROR(INDEX(Fisa!$S$11:$S$38,_xlfn.AGGREGATE(15,6,(ROW(Fisa!$R$11:$R$38)-10)/(Fisa!$R$11:$R$38=B28),COUNTIF($B$26:B28,B28))),""))</f>
        <v/>
      </c>
      <c r="J28" s="5"/>
      <c r="K28" s="5"/>
      <c r="L28" s="5"/>
    </row>
    <row r="29" spans="1:12" customFormat="1">
      <c r="B29" s="10"/>
      <c r="C29" s="10" t="str" cm="1">
        <f t="array" ref="C29">IF(ISBLANK(B29),"",IFERROR(INDEX(Fisa!$G$11:$G$38,_xlfn.AGGREGATE(15,6,(ROW(Fisa!$F$11:$F$38)-10)/(Fisa!$F$11:$F$38=B29),COUNTIF($B$26:B29,B29))),""))</f>
        <v/>
      </c>
      <c r="D29" s="10" t="str" cm="1">
        <f t="array" ref="D29">IF(ISBLANK(B29),"",IFERROR(INDEX(Fisa!$I$11:$I$38,_xlfn.AGGREGATE(15,6,(ROW(Fisa!$H$11:$H$38)-10)/(Fisa!$H$11:$H$38=B29),COUNTIF($B$26:B29,B29))),""))</f>
        <v/>
      </c>
      <c r="E29" s="10" t="str" cm="1">
        <f t="array" ref="E29">IF(ISBLANK(B29),"",IFERROR(INDEX(Fisa!$K$11:$K$38,_xlfn.AGGREGATE(15,6,(ROW(Fisa!$J$11:$J$38)-10)/(Fisa!$J$11:$J$38=B29),COUNTIF($B$26:B29,B29))),""))</f>
        <v/>
      </c>
      <c r="F29" s="10" t="str" cm="1">
        <f t="array" ref="F29">IF(ISBLANK(B29),"",IFERROR(INDEX(Fisa!$M$11:$M$38,_xlfn.AGGREGATE(15,6,(ROW(Fisa!$L$11:$L$38)-10)/(Fisa!$L$11:$L$38=B29),COUNTIF($B$26:B29,B29))),""))</f>
        <v/>
      </c>
      <c r="G29" s="10" t="str" cm="1">
        <f t="array" ref="G29">IF(ISBLANK(B29),"",IFERROR(INDEX(Fisa!$O$11:$O$38,_xlfn.AGGREGATE(15,6,(ROW(Fisa!$N$11:$N$38)-10)/(Fisa!$N$11:$N$38=B29),COUNTIF($B$26:B29,B29))),""))</f>
        <v/>
      </c>
      <c r="H29" s="10" t="str" cm="1">
        <f t="array" ref="H29">IF(ISBLANK(B29),"",IFERROR(INDEX(Fisa!$Q$11:$Q$38,_xlfn.AGGREGATE(15,6,(ROW(Fisa!$P$11:$P$38)-10)/(Fisa!$P$11:$P$38=B29),COUNTIF($B$26:B29,B29))),""))</f>
        <v/>
      </c>
      <c r="I29" s="10" t="str" cm="1">
        <f t="array" ref="I29">IF(ISBLANK(B29),"",IFERROR(INDEX(Fisa!$S$11:$S$38,_xlfn.AGGREGATE(15,6,(ROW(Fisa!$R$11:$R$38)-10)/(Fisa!$R$11:$R$38=B29),COUNTIF($B$26:B29,B29))),""))</f>
        <v/>
      </c>
      <c r="J29" s="5"/>
      <c r="K29" s="5"/>
      <c r="L29" s="5"/>
    </row>
    <row r="30" spans="1:12" customFormat="1">
      <c r="B30" s="10"/>
      <c r="C30" s="10" t="str" cm="1">
        <f t="array" ref="C30">IF(ISBLANK(B30),"",IFERROR(INDEX(Fisa!$G$11:$G$38,_xlfn.AGGREGATE(15,6,(ROW(Fisa!$F$11:$F$38)-10)/(Fisa!$F$11:$F$38=B30),COUNTIF($B$26:B30,B30))),""))</f>
        <v/>
      </c>
      <c r="D30" s="10" t="str" cm="1">
        <f t="array" ref="D30">IF(ISBLANK(B30),"",IFERROR(INDEX(Fisa!$I$11:$I$38,_xlfn.AGGREGATE(15,6,(ROW(Fisa!$H$11:$H$38)-10)/(Fisa!$H$11:$H$38=B30),COUNTIF($B$26:B30,B30))),""))</f>
        <v/>
      </c>
      <c r="E30" s="10" t="str" cm="1">
        <f t="array" ref="E30">IF(ISBLANK(B30),"",IFERROR(INDEX(Fisa!$K$11:$K$38,_xlfn.AGGREGATE(15,6,(ROW(Fisa!$J$11:$J$38)-10)/(Fisa!$J$11:$J$38=B30),COUNTIF($B$26:B30,B30))),""))</f>
        <v/>
      </c>
      <c r="F30" s="10" t="str" cm="1">
        <f t="array" ref="F30">IF(ISBLANK(B30),"",IFERROR(INDEX(Fisa!$M$11:$M$38,_xlfn.AGGREGATE(15,6,(ROW(Fisa!$L$11:$L$38)-10)/(Fisa!$L$11:$L$38=B30),COUNTIF($B$26:B30,B30))),""))</f>
        <v/>
      </c>
      <c r="G30" s="10" t="str" cm="1">
        <f t="array" ref="G30">IF(ISBLANK(B30),"",IFERROR(INDEX(Fisa!$O$11:$O$38,_xlfn.AGGREGATE(15,6,(ROW(Fisa!$N$11:$N$38)-10)/(Fisa!$N$11:$N$38=B30),COUNTIF($B$26:B30,B30))),""))</f>
        <v/>
      </c>
      <c r="H30" s="10" t="str" cm="1">
        <f t="array" ref="H30">IF(ISBLANK(B30),"",IFERROR(INDEX(Fisa!$Q$11:$Q$38,_xlfn.AGGREGATE(15,6,(ROW(Fisa!$P$11:$P$38)-10)/(Fisa!$P$11:$P$38=B30),COUNTIF($B$26:B30,B30))),""))</f>
        <v/>
      </c>
      <c r="I30" s="10" t="str" cm="1">
        <f t="array" ref="I30">IF(ISBLANK(B30),"",IFERROR(INDEX(Fisa!$S$11:$S$38,_xlfn.AGGREGATE(15,6,(ROW(Fisa!$R$11:$R$38)-10)/(Fisa!$R$11:$R$38=B30),COUNTIF($B$26:B30,B30))),""))</f>
        <v/>
      </c>
      <c r="J30" s="5"/>
      <c r="K30" s="5"/>
      <c r="L30" s="5"/>
    </row>
    <row r="31" spans="1:12" customFormat="1">
      <c r="B31" s="10"/>
      <c r="C31" s="10" t="str" cm="1">
        <f t="array" ref="C31">IF(ISBLANK(B31),"",IFERROR(INDEX(Fisa!$G$11:$G$38,_xlfn.AGGREGATE(15,6,(ROW(Fisa!$F$11:$F$38)-10)/(Fisa!$F$11:$F$38=B31),COUNTIF($B$26:B31,B31))),""))</f>
        <v/>
      </c>
      <c r="D31" s="10" t="str" cm="1">
        <f t="array" ref="D31">IF(ISBLANK(B31),"",IFERROR(INDEX(Fisa!$I$11:$I$38,_xlfn.AGGREGATE(15,6,(ROW(Fisa!$H$11:$H$38)-10)/(Fisa!$H$11:$H$38=B31),COUNTIF($B$26:B31,B31))),""))</f>
        <v/>
      </c>
      <c r="E31" s="10" t="str" cm="1">
        <f t="array" ref="E31">IF(ISBLANK(B31),"",IFERROR(INDEX(Fisa!$K$11:$K$38,_xlfn.AGGREGATE(15,6,(ROW(Fisa!$J$11:$J$38)-10)/(Fisa!$J$11:$J$38=B31),COUNTIF($B$26:B31,B31))),""))</f>
        <v/>
      </c>
      <c r="F31" s="10" t="str" cm="1">
        <f t="array" ref="F31">IF(ISBLANK(B31),"",IFERROR(INDEX(Fisa!$M$11:$M$38,_xlfn.AGGREGATE(15,6,(ROW(Fisa!$L$11:$L$38)-10)/(Fisa!$L$11:$L$38=B31),COUNTIF($B$26:B31,B31))),""))</f>
        <v/>
      </c>
      <c r="G31" s="10" t="str" cm="1">
        <f t="array" ref="G31">IF(ISBLANK(B31),"",IFERROR(INDEX(Fisa!$O$11:$O$38,_xlfn.AGGREGATE(15,6,(ROW(Fisa!$N$11:$N$38)-10)/(Fisa!$N$11:$N$38=B31),COUNTIF($B$26:B31,B31))),""))</f>
        <v/>
      </c>
      <c r="H31" s="10" t="str" cm="1">
        <f t="array" ref="H31">IF(ISBLANK(B31),"",IFERROR(INDEX(Fisa!$Q$11:$Q$38,_xlfn.AGGREGATE(15,6,(ROW(Fisa!$P$11:$P$38)-10)/(Fisa!$P$11:$P$38=B31),COUNTIF($B$26:B31,B31))),""))</f>
        <v/>
      </c>
      <c r="I31" s="10" t="str" cm="1">
        <f t="array" ref="I31">IF(ISBLANK(B31),"",IFERROR(INDEX(Fisa!$S$11:$S$38,_xlfn.AGGREGATE(15,6,(ROW(Fisa!$R$11:$R$38)-10)/(Fisa!$R$11:$R$38=B31),COUNTIF($B$26:B31,B31))),""))</f>
        <v/>
      </c>
      <c r="J31" s="5"/>
      <c r="K31" s="5"/>
      <c r="L31" s="5"/>
    </row>
    <row r="32" spans="1:12" customFormat="1">
      <c r="B32" s="10"/>
      <c r="C32" s="10" t="str" cm="1">
        <f t="array" ref="C32">IF(ISBLANK(B32),"",IFERROR(INDEX(Fisa!$G$11:$G$38,_xlfn.AGGREGATE(15,6,(ROW(Fisa!$F$11:$F$38)-10)/(Fisa!$F$11:$F$38=B32),COUNTIF($B$26:B32,B32))),""))</f>
        <v/>
      </c>
      <c r="D32" s="10" t="str" cm="1">
        <f t="array" ref="D32">IF(ISBLANK(B32),"",IFERROR(INDEX(Fisa!$I$11:$I$38,_xlfn.AGGREGATE(15,6,(ROW(Fisa!$H$11:$H$38)-10)/(Fisa!$H$11:$H$38=B32),COUNTIF($B$26:B32,B32))),""))</f>
        <v/>
      </c>
      <c r="E32" s="10" t="str" cm="1">
        <f t="array" ref="E32">IF(ISBLANK(B32),"",IFERROR(INDEX(Fisa!$K$11:$K$38,_xlfn.AGGREGATE(15,6,(ROW(Fisa!$J$11:$J$38)-10)/(Fisa!$J$11:$J$38=B32),COUNTIF($B$26:B32,B32))),""))</f>
        <v/>
      </c>
      <c r="F32" s="10" t="str" cm="1">
        <f t="array" ref="F32">IF(ISBLANK(B32),"",IFERROR(INDEX(Fisa!$M$11:$M$38,_xlfn.AGGREGATE(15,6,(ROW(Fisa!$L$11:$L$38)-10)/(Fisa!$L$11:$L$38=B32),COUNTIF($B$26:B32,B32))),""))</f>
        <v/>
      </c>
      <c r="G32" s="10" t="str" cm="1">
        <f t="array" ref="G32">IF(ISBLANK(B32),"",IFERROR(INDEX(Fisa!$O$11:$O$38,_xlfn.AGGREGATE(15,6,(ROW(Fisa!$N$11:$N$38)-10)/(Fisa!$N$11:$N$38=B32),COUNTIF($B$26:B32,B32))),""))</f>
        <v/>
      </c>
      <c r="H32" s="10" t="str" cm="1">
        <f t="array" ref="H32">IF(ISBLANK(B32),"",IFERROR(INDEX(Fisa!$Q$11:$Q$38,_xlfn.AGGREGATE(15,6,(ROW(Fisa!$P$11:$P$38)-10)/(Fisa!$P$11:$P$38=B32),COUNTIF($B$26:B32,B32))),""))</f>
        <v/>
      </c>
      <c r="I32" s="10" t="str" cm="1">
        <f t="array" ref="I32">IF(ISBLANK(B32),"",IFERROR(INDEX(Fisa!$S$11:$S$38,_xlfn.AGGREGATE(15,6,(ROW(Fisa!$R$11:$R$38)-10)/(Fisa!$R$11:$R$38=B32),COUNTIF($B$26:B32,B32))),""))</f>
        <v/>
      </c>
      <c r="J32" s="5"/>
      <c r="K32" s="5"/>
      <c r="L32" s="5"/>
    </row>
    <row r="33" spans="2:12" customFormat="1">
      <c r="B33" s="10"/>
      <c r="C33" s="10" t="str" cm="1">
        <f t="array" ref="C33">IF(ISBLANK(B33),"",IFERROR(INDEX(Fisa!$G$11:$G$38,_xlfn.AGGREGATE(15,6,(ROW(Fisa!$F$11:$F$38)-10)/(Fisa!$F$11:$F$38=B33),COUNTIF($B$26:B33,B33))),""))</f>
        <v/>
      </c>
      <c r="D33" s="10" t="str" cm="1">
        <f t="array" ref="D33">IF(ISBLANK(B33),"",IFERROR(INDEX(Fisa!$I$11:$I$38,_xlfn.AGGREGATE(15,6,(ROW(Fisa!$H$11:$H$38)-10)/(Fisa!$H$11:$H$38=B33),COUNTIF($B$26:B33,B33))),""))</f>
        <v/>
      </c>
      <c r="E33" s="10" t="str" cm="1">
        <f t="array" ref="E33">IF(ISBLANK(B33),"",IFERROR(INDEX(Fisa!$K$11:$K$38,_xlfn.AGGREGATE(15,6,(ROW(Fisa!$J$11:$J$38)-10)/(Fisa!$J$11:$J$38=B33),COUNTIF($B$26:B33,B33))),""))</f>
        <v/>
      </c>
      <c r="F33" s="10" t="str" cm="1">
        <f t="array" ref="F33">IF(ISBLANK(B33),"",IFERROR(INDEX(Fisa!$M$11:$M$38,_xlfn.AGGREGATE(15,6,(ROW(Fisa!$L$11:$L$38)-10)/(Fisa!$L$11:$L$38=B33),COUNTIF($B$26:B33,B33))),""))</f>
        <v/>
      </c>
      <c r="G33" s="10" t="str" cm="1">
        <f t="array" ref="G33">IF(ISBLANK(B33),"",IFERROR(INDEX(Fisa!$O$11:$O$38,_xlfn.AGGREGATE(15,6,(ROW(Fisa!$N$11:$N$38)-10)/(Fisa!$N$11:$N$38=B33),COUNTIF($B$26:B33,B33))),""))</f>
        <v/>
      </c>
      <c r="H33" s="10" t="str" cm="1">
        <f t="array" ref="H33">IF(ISBLANK(B33),"",IFERROR(INDEX(Fisa!$Q$11:$Q$38,_xlfn.AGGREGATE(15,6,(ROW(Fisa!$P$11:$P$38)-10)/(Fisa!$P$11:$P$38=B33),COUNTIF($B$26:B33,B33))),""))</f>
        <v/>
      </c>
      <c r="I33" s="10" t="str" cm="1">
        <f t="array" ref="I33">IF(ISBLANK(B33),"",IFERROR(INDEX(Fisa!$S$11:$S$38,_xlfn.AGGREGATE(15,6,(ROW(Fisa!$R$11:$R$38)-10)/(Fisa!$R$11:$R$38=B33),COUNTIF($B$26:B33,B33))),""))</f>
        <v/>
      </c>
      <c r="J33" s="5"/>
      <c r="K33" s="5"/>
      <c r="L33" s="5"/>
    </row>
    <row r="34" spans="2:12" customFormat="1">
      <c r="B34" s="10"/>
      <c r="C34" s="10" t="str" cm="1">
        <f t="array" ref="C34">IF(ISBLANK(B34),"",IFERROR(INDEX(Fisa!$G$11:$G$38,_xlfn.AGGREGATE(15,6,(ROW(Fisa!$F$11:$F$38)-10)/(Fisa!$F$11:$F$38=B34),COUNTIF($B$26:B34,B34))),""))</f>
        <v/>
      </c>
      <c r="D34" s="10" t="str" cm="1">
        <f t="array" ref="D34">IF(ISBLANK(B34),"",IFERROR(INDEX(Fisa!$I$11:$I$38,_xlfn.AGGREGATE(15,6,(ROW(Fisa!$H$11:$H$38)-10)/(Fisa!$H$11:$H$38=B34),COUNTIF($B$26:B34,B34))),""))</f>
        <v/>
      </c>
      <c r="E34" s="10" t="str" cm="1">
        <f t="array" ref="E34">IF(ISBLANK(B34),"",IFERROR(INDEX(Fisa!$K$11:$K$38,_xlfn.AGGREGATE(15,6,(ROW(Fisa!$J$11:$J$38)-10)/(Fisa!$J$11:$J$38=B34),COUNTIF($B$26:B34,B34))),""))</f>
        <v/>
      </c>
      <c r="F34" s="10" t="str" cm="1">
        <f t="array" ref="F34">IF(ISBLANK(B34),"",IFERROR(INDEX(Fisa!$M$11:$M$38,_xlfn.AGGREGATE(15,6,(ROW(Fisa!$L$11:$L$38)-10)/(Fisa!$L$11:$L$38=B34),COUNTIF($B$26:B34,B34))),""))</f>
        <v/>
      </c>
      <c r="G34" s="10" t="str" cm="1">
        <f t="array" ref="G34">IF(ISBLANK(B34),"",IFERROR(INDEX(Fisa!$O$11:$O$38,_xlfn.AGGREGATE(15,6,(ROW(Fisa!$N$11:$N$38)-10)/(Fisa!$N$11:$N$38=B34),COUNTIF($B$26:B34,B34))),""))</f>
        <v/>
      </c>
      <c r="H34" s="10" t="str" cm="1">
        <f t="array" ref="H34">IF(ISBLANK(B34),"",IFERROR(INDEX(Fisa!$Q$11:$Q$38,_xlfn.AGGREGATE(15,6,(ROW(Fisa!$P$11:$P$38)-10)/(Fisa!$P$11:$P$38=B34),COUNTIF($B$26:B34,B34))),""))</f>
        <v/>
      </c>
      <c r="I34" s="10" t="str" cm="1">
        <f t="array" ref="I34">IF(ISBLANK(B34),"",IFERROR(INDEX(Fisa!$S$11:$S$38,_xlfn.AGGREGATE(15,6,(ROW(Fisa!$R$11:$R$38)-10)/(Fisa!$R$11:$R$38=B34),COUNTIF($B$26:B34,B34))),""))</f>
        <v/>
      </c>
      <c r="J34" s="5"/>
      <c r="K34" s="5"/>
      <c r="L34" s="5"/>
    </row>
    <row r="35" spans="2:12" customFormat="1">
      <c r="B35" s="10"/>
      <c r="C35" s="10" t="str" cm="1">
        <f t="array" ref="C35">IF(ISBLANK(B35),"",IFERROR(INDEX(Fisa!$G$11:$G$38,_xlfn.AGGREGATE(15,6,(ROW(Fisa!$F$11:$F$38)-10)/(Fisa!$F$11:$F$38=B35),COUNTIF($B$26:B35,B35))),""))</f>
        <v/>
      </c>
      <c r="D35" s="10" t="str" cm="1">
        <f t="array" ref="D35">IF(ISBLANK(B35),"",IFERROR(INDEX(Fisa!$I$11:$I$38,_xlfn.AGGREGATE(15,6,(ROW(Fisa!$H$11:$H$38)-10)/(Fisa!$H$11:$H$38=B35),COUNTIF($B$26:B35,B35))),""))</f>
        <v/>
      </c>
      <c r="E35" s="10" t="str" cm="1">
        <f t="array" ref="E35">IF(ISBLANK(B35),"",IFERROR(INDEX(Fisa!$K$11:$K$38,_xlfn.AGGREGATE(15,6,(ROW(Fisa!$J$11:$J$38)-10)/(Fisa!$J$11:$J$38=B35),COUNTIF($B$26:B35,B35))),""))</f>
        <v/>
      </c>
      <c r="F35" s="10" t="str" cm="1">
        <f t="array" ref="F35">IF(ISBLANK(B35),"",IFERROR(INDEX(Fisa!$M$11:$M$38,_xlfn.AGGREGATE(15,6,(ROW(Fisa!$L$11:$L$38)-10)/(Fisa!$L$11:$L$38=B35),COUNTIF($B$26:B35,B35))),""))</f>
        <v/>
      </c>
      <c r="G35" s="10" t="str" cm="1">
        <f t="array" ref="G35">IF(ISBLANK(B35),"",IFERROR(INDEX(Fisa!$O$11:$O$38,_xlfn.AGGREGATE(15,6,(ROW(Fisa!$N$11:$N$38)-10)/(Fisa!$N$11:$N$38=B35),COUNTIF($B$26:B35,B35))),""))</f>
        <v/>
      </c>
      <c r="H35" s="10" t="str" cm="1">
        <f t="array" ref="H35">IF(ISBLANK(B35),"",IFERROR(INDEX(Fisa!$Q$11:$Q$38,_xlfn.AGGREGATE(15,6,(ROW(Fisa!$P$11:$P$38)-10)/(Fisa!$P$11:$P$38=B35),COUNTIF($B$26:B35,B35))),""))</f>
        <v/>
      </c>
      <c r="I35" s="10" t="str" cm="1">
        <f t="array" ref="I35">IF(ISBLANK(B35),"",IFERROR(INDEX(Fisa!$S$11:$S$38,_xlfn.AGGREGATE(15,6,(ROW(Fisa!$R$11:$R$38)-10)/(Fisa!$R$11:$R$38=B35),COUNTIF($B$26:B35,B35))),""))</f>
        <v/>
      </c>
      <c r="J35" s="5"/>
      <c r="K35" s="5"/>
      <c r="L35" s="5"/>
    </row>
    <row r="36" spans="2:12" customFormat="1">
      <c r="B36" s="10"/>
      <c r="C36" s="10" t="str" cm="1">
        <f t="array" ref="C36">IF(ISBLANK(B36),"",IFERROR(INDEX(Fisa!$G$11:$G$38,_xlfn.AGGREGATE(15,6,(ROW(Fisa!$F$11:$F$38)-10)/(Fisa!$F$11:$F$38=B36),COUNTIF($B$26:B36,B36))),""))</f>
        <v/>
      </c>
      <c r="D36" s="10" t="str" cm="1">
        <f t="array" ref="D36">IF(ISBLANK(B36),"",IFERROR(INDEX(Fisa!$I$11:$I$38,_xlfn.AGGREGATE(15,6,(ROW(Fisa!$H$11:$H$38)-10)/(Fisa!$H$11:$H$38=B36),COUNTIF($B$26:B36,B36))),""))</f>
        <v/>
      </c>
      <c r="E36" s="10" t="str" cm="1">
        <f t="array" ref="E36">IF(ISBLANK(B36),"",IFERROR(INDEX(Fisa!$K$11:$K$38,_xlfn.AGGREGATE(15,6,(ROW(Fisa!$J$11:$J$38)-10)/(Fisa!$J$11:$J$38=B36),COUNTIF($B$26:B36,B36))),""))</f>
        <v/>
      </c>
      <c r="F36" s="10" t="str" cm="1">
        <f t="array" ref="F36">IF(ISBLANK(B36),"",IFERROR(INDEX(Fisa!$M$11:$M$38,_xlfn.AGGREGATE(15,6,(ROW(Fisa!$L$11:$L$38)-10)/(Fisa!$L$11:$L$38=B36),COUNTIF($B$26:B36,B36))),""))</f>
        <v/>
      </c>
      <c r="G36" s="10" t="str" cm="1">
        <f t="array" ref="G36">IF(ISBLANK(B36),"",IFERROR(INDEX(Fisa!$O$11:$O$38,_xlfn.AGGREGATE(15,6,(ROW(Fisa!$N$11:$N$38)-10)/(Fisa!$N$11:$N$38=B36),COUNTIF($B$26:B36,B36))),""))</f>
        <v/>
      </c>
      <c r="H36" s="10" t="str" cm="1">
        <f t="array" ref="H36">IF(ISBLANK(B36),"",IFERROR(INDEX(Fisa!$Q$11:$Q$38,_xlfn.AGGREGATE(15,6,(ROW(Fisa!$P$11:$P$38)-10)/(Fisa!$P$11:$P$38=B36),COUNTIF($B$26:B36,B36))),""))</f>
        <v/>
      </c>
      <c r="I36" s="10" t="str" cm="1">
        <f t="array" ref="I36">IF(ISBLANK(B36),"",IFERROR(INDEX(Fisa!$S$11:$S$38,_xlfn.AGGREGATE(15,6,(ROW(Fisa!$R$11:$R$38)-10)/(Fisa!$R$11:$R$38=B36),COUNTIF($B$26:B36,B36))),""))</f>
        <v/>
      </c>
      <c r="J36" s="5"/>
      <c r="K36" s="5"/>
      <c r="L36" s="5"/>
    </row>
    <row r="37" spans="2:12" customFormat="1">
      <c r="B37" s="10"/>
      <c r="C37" s="10" t="str" cm="1">
        <f t="array" ref="C37">IF(ISBLANK(B37),"",IFERROR(INDEX(Fisa!$G$11:$G$38,_xlfn.AGGREGATE(15,6,(ROW(Fisa!$F$11:$F$38)-10)/(Fisa!$F$11:$F$38=B37),COUNTIF($B$26:B37,B37))),""))</f>
        <v/>
      </c>
      <c r="D37" s="10" t="str" cm="1">
        <f t="array" ref="D37">IF(ISBLANK(B37),"",IFERROR(INDEX(Fisa!$I$11:$I$38,_xlfn.AGGREGATE(15,6,(ROW(Fisa!$H$11:$H$38)-10)/(Fisa!$H$11:$H$38=B37),COUNTIF($B$26:B37,B37))),""))</f>
        <v/>
      </c>
      <c r="E37" s="10" t="str" cm="1">
        <f t="array" ref="E37">IF(ISBLANK(B37),"",IFERROR(INDEX(Fisa!$K$11:$K$38,_xlfn.AGGREGATE(15,6,(ROW(Fisa!$J$11:$J$38)-10)/(Fisa!$J$11:$J$38=B37),COUNTIF($B$26:B37,B37))),""))</f>
        <v/>
      </c>
      <c r="F37" s="10" t="str" cm="1">
        <f t="array" ref="F37">IF(ISBLANK(B37),"",IFERROR(INDEX(Fisa!$M$11:$M$38,_xlfn.AGGREGATE(15,6,(ROW(Fisa!$L$11:$L$38)-10)/(Fisa!$L$11:$L$38=B37),COUNTIF($B$26:B37,B37))),""))</f>
        <v/>
      </c>
      <c r="G37" s="10" t="str" cm="1">
        <f t="array" ref="G37">IF(ISBLANK(B37),"",IFERROR(INDEX(Fisa!$O$11:$O$38,_xlfn.AGGREGATE(15,6,(ROW(Fisa!$N$11:$N$38)-10)/(Fisa!$N$11:$N$38=B37),COUNTIF($B$26:B37,B37))),""))</f>
        <v/>
      </c>
      <c r="H37" s="10" t="str" cm="1">
        <f t="array" ref="H37">IF(ISBLANK(B37),"",IFERROR(INDEX(Fisa!$Q$11:$Q$38,_xlfn.AGGREGATE(15,6,(ROW(Fisa!$P$11:$P$38)-10)/(Fisa!$P$11:$P$38=B37),COUNTIF($B$26:B37,B37))),""))</f>
        <v/>
      </c>
      <c r="I37" s="10" t="str" cm="1">
        <f t="array" ref="I37">IF(ISBLANK(B37),"",IFERROR(INDEX(Fisa!$S$11:$S$38,_xlfn.AGGREGATE(15,6,(ROW(Fisa!$R$11:$R$38)-10)/(Fisa!$R$11:$R$38=B37),COUNTIF($B$26:B37,B37))),""))</f>
        <v/>
      </c>
      <c r="J37" s="5"/>
      <c r="K37" s="5"/>
      <c r="L37" s="5"/>
    </row>
    <row r="38" spans="2:12" customFormat="1">
      <c r="B38" s="10"/>
      <c r="C38" s="10" t="str" cm="1">
        <f t="array" ref="C38">IF(ISBLANK(B38),"",IFERROR(INDEX(Fisa!$G$11:$G$38,_xlfn.AGGREGATE(15,6,(ROW(Fisa!$F$11:$F$38)-10)/(Fisa!$F$11:$F$38=B38),COUNTIF($B$26:B38,B38))),""))</f>
        <v/>
      </c>
      <c r="D38" s="10" t="str" cm="1">
        <f t="array" ref="D38">IF(ISBLANK(B38),"",IFERROR(INDEX(Fisa!$I$11:$I$38,_xlfn.AGGREGATE(15,6,(ROW(Fisa!$H$11:$H$38)-10)/(Fisa!$H$11:$H$38=B38),COUNTIF($B$26:B38,B38))),""))</f>
        <v/>
      </c>
      <c r="E38" s="10" t="str" cm="1">
        <f t="array" ref="E38">IF(ISBLANK(B38),"",IFERROR(INDEX(Fisa!$K$11:$K$38,_xlfn.AGGREGATE(15,6,(ROW(Fisa!$J$11:$J$38)-10)/(Fisa!$J$11:$J$38=B38),COUNTIF($B$26:B38,B38))),""))</f>
        <v/>
      </c>
      <c r="F38" s="10" t="str" cm="1">
        <f t="array" ref="F38">IF(ISBLANK(B38),"",IFERROR(INDEX(Fisa!$M$11:$M$38,_xlfn.AGGREGATE(15,6,(ROW(Fisa!$L$11:$L$38)-10)/(Fisa!$L$11:$L$38=B38),COUNTIF($B$26:B38,B38))),""))</f>
        <v/>
      </c>
      <c r="G38" s="10" t="str" cm="1">
        <f t="array" ref="G38">IF(ISBLANK(B38),"",IFERROR(INDEX(Fisa!$O$11:$O$38,_xlfn.AGGREGATE(15,6,(ROW(Fisa!$N$11:$N$38)-10)/(Fisa!$N$11:$N$38=B38),COUNTIF($B$26:B38,B38))),""))</f>
        <v/>
      </c>
      <c r="H38" s="10" t="str" cm="1">
        <f t="array" ref="H38">IF(ISBLANK(B38),"",IFERROR(INDEX(Fisa!$Q$11:$Q$38,_xlfn.AGGREGATE(15,6,(ROW(Fisa!$P$11:$P$38)-10)/(Fisa!$P$11:$P$38=B38),COUNTIF($B$26:B38,B38))),""))</f>
        <v/>
      </c>
      <c r="I38" s="10" t="str" cm="1">
        <f t="array" ref="I38">IF(ISBLANK(B38),"",IFERROR(INDEX(Fisa!$S$11:$S$38,_xlfn.AGGREGATE(15,6,(ROW(Fisa!$R$11:$R$38)-10)/(Fisa!$R$11:$R$38=B38),COUNTIF($B$26:B38,B38))),""))</f>
        <v/>
      </c>
      <c r="J38" s="5"/>
      <c r="K38" s="5"/>
      <c r="L38" s="5"/>
    </row>
    <row r="39" spans="2:12" customFormat="1">
      <c r="B39" s="10"/>
      <c r="C39" s="10" t="str" cm="1">
        <f t="array" ref="C39">IF(ISBLANK(B39),"",IFERROR(INDEX(Fisa!$G$11:$G$38,_xlfn.AGGREGATE(15,6,(ROW(Fisa!$F$11:$F$38)-10)/(Fisa!$F$11:$F$38=B39),COUNTIF($B$26:B39,B39))),""))</f>
        <v/>
      </c>
      <c r="D39" s="10" t="str" cm="1">
        <f t="array" ref="D39">IF(ISBLANK(B39),"",IFERROR(INDEX(Fisa!$I$11:$I$38,_xlfn.AGGREGATE(15,6,(ROW(Fisa!$H$11:$H$38)-10)/(Fisa!$H$11:$H$38=B39),COUNTIF($B$26:B39,B39))),""))</f>
        <v/>
      </c>
      <c r="E39" s="10" t="str" cm="1">
        <f t="array" ref="E39">IF(ISBLANK(B39),"",IFERROR(INDEX(Fisa!$K$11:$K$38,_xlfn.AGGREGATE(15,6,(ROW(Fisa!$J$11:$J$38)-10)/(Fisa!$J$11:$J$38=B39),COUNTIF($B$26:B39,B39))),""))</f>
        <v/>
      </c>
      <c r="F39" s="10" t="str" cm="1">
        <f t="array" ref="F39">IF(ISBLANK(B39),"",IFERROR(INDEX(Fisa!$M$11:$M$38,_xlfn.AGGREGATE(15,6,(ROW(Fisa!$L$11:$L$38)-10)/(Fisa!$L$11:$L$38=B39),COUNTIF($B$26:B39,B39))),""))</f>
        <v/>
      </c>
      <c r="G39" s="10" t="str" cm="1">
        <f t="array" ref="G39">IF(ISBLANK(B39),"",IFERROR(INDEX(Fisa!$O$11:$O$38,_xlfn.AGGREGATE(15,6,(ROW(Fisa!$N$11:$N$38)-10)/(Fisa!$N$11:$N$38=B39),COUNTIF($B$26:B39,B39))),""))</f>
        <v/>
      </c>
      <c r="H39" s="10" t="str" cm="1">
        <f t="array" ref="H39">IF(ISBLANK(B39),"",IFERROR(INDEX(Fisa!$Q$11:$Q$38,_xlfn.AGGREGATE(15,6,(ROW(Fisa!$P$11:$P$38)-10)/(Fisa!$P$11:$P$38=B39),COUNTIF($B$26:B39,B39))),""))</f>
        <v/>
      </c>
      <c r="I39" s="10" t="str" cm="1">
        <f t="array" ref="I39">IF(ISBLANK(B39),"",IFERROR(INDEX(Fisa!$S$11:$S$38,_xlfn.AGGREGATE(15,6,(ROW(Fisa!$R$11:$R$38)-10)/(Fisa!$R$11:$R$38=B39),COUNTIF($B$26:B39,B39))),""))</f>
        <v/>
      </c>
      <c r="J39" s="5"/>
      <c r="K39" s="5"/>
      <c r="L39" s="5"/>
    </row>
    <row r="40" spans="2:12" customFormat="1">
      <c r="B40" s="10"/>
      <c r="C40" s="10" t="str" cm="1">
        <f t="array" ref="C40">IF(ISBLANK(B40),"",IFERROR(INDEX(Fisa!$G$11:$G$38,_xlfn.AGGREGATE(15,6,(ROW(Fisa!$F$11:$F$38)-10)/(Fisa!$F$11:$F$38=B40),COUNTIF($B$26:B40,B40))),""))</f>
        <v/>
      </c>
      <c r="D40" s="10" t="str" cm="1">
        <f t="array" ref="D40">IF(ISBLANK(B40),"",IFERROR(INDEX(Fisa!$I$11:$I$38,_xlfn.AGGREGATE(15,6,(ROW(Fisa!$H$11:$H$38)-10)/(Fisa!$H$11:$H$38=B40),COUNTIF($B$26:B40,B40))),""))</f>
        <v/>
      </c>
      <c r="E40" s="10" t="str" cm="1">
        <f t="array" ref="E40">IF(ISBLANK(B40),"",IFERROR(INDEX(Fisa!$K$11:$K$38,_xlfn.AGGREGATE(15,6,(ROW(Fisa!$J$11:$J$38)-10)/(Fisa!$J$11:$J$38=B40),COUNTIF($B$26:B40,B40))),""))</f>
        <v/>
      </c>
      <c r="F40" s="10" t="str" cm="1">
        <f t="array" ref="F40">IF(ISBLANK(B40),"",IFERROR(INDEX(Fisa!$M$11:$M$38,_xlfn.AGGREGATE(15,6,(ROW(Fisa!$L$11:$L$38)-10)/(Fisa!$L$11:$L$38=B40),COUNTIF($B$26:B40,B40))),""))</f>
        <v/>
      </c>
      <c r="G40" s="10" t="str" cm="1">
        <f t="array" ref="G40">IF(ISBLANK(B40),"",IFERROR(INDEX(Fisa!$O$11:$O$38,_xlfn.AGGREGATE(15,6,(ROW(Fisa!$N$11:$N$38)-10)/(Fisa!$N$11:$N$38=B40),COUNTIF($B$26:B40,B40))),""))</f>
        <v/>
      </c>
      <c r="H40" s="10" t="str" cm="1">
        <f t="array" ref="H40">IF(ISBLANK(B40),"",IFERROR(INDEX(Fisa!$Q$11:$Q$38,_xlfn.AGGREGATE(15,6,(ROW(Fisa!$P$11:$P$38)-10)/(Fisa!$P$11:$P$38=B40),COUNTIF($B$26:B40,B40))),""))</f>
        <v/>
      </c>
      <c r="I40" s="10" t="str" cm="1">
        <f t="array" ref="I40">IF(ISBLANK(B40),"",IFERROR(INDEX(Fisa!$S$11:$S$38,_xlfn.AGGREGATE(15,6,(ROW(Fisa!$R$11:$R$38)-10)/(Fisa!$R$11:$R$38=B40),COUNTIF($B$26:B40,B40))),""))</f>
        <v/>
      </c>
      <c r="J40" s="5"/>
      <c r="K40" s="5"/>
      <c r="L40" s="5"/>
    </row>
    <row r="41" spans="2:12" customFormat="1">
      <c r="B41" s="10"/>
      <c r="C41" s="10" t="str" cm="1">
        <f t="array" ref="C41">IF(ISBLANK(B41),"",IFERROR(INDEX(Fisa!$G$11:$G$38,_xlfn.AGGREGATE(15,6,(ROW(Fisa!$F$11:$F$38)-10)/(Fisa!$F$11:$F$38=B41),COUNTIF($B$26:B41,B41))),""))</f>
        <v/>
      </c>
      <c r="D41" s="10" t="str" cm="1">
        <f t="array" ref="D41">IF(ISBLANK(B41),"",IFERROR(INDEX(Fisa!$I$11:$I$38,_xlfn.AGGREGATE(15,6,(ROW(Fisa!$H$11:$H$38)-10)/(Fisa!$H$11:$H$38=B41),COUNTIF($B$26:B41,B41))),""))</f>
        <v/>
      </c>
      <c r="E41" s="10" t="str" cm="1">
        <f t="array" ref="E41">IF(ISBLANK(B41),"",IFERROR(INDEX(Fisa!$K$11:$K$38,_xlfn.AGGREGATE(15,6,(ROW(Fisa!$J$11:$J$38)-10)/(Fisa!$J$11:$J$38=B41),COUNTIF($B$26:B41,B41))),""))</f>
        <v/>
      </c>
      <c r="F41" s="10" t="str" cm="1">
        <f t="array" ref="F41">IF(ISBLANK(B41),"",IFERROR(INDEX(Fisa!$M$11:$M$38,_xlfn.AGGREGATE(15,6,(ROW(Fisa!$L$11:$L$38)-10)/(Fisa!$L$11:$L$38=B41),COUNTIF($B$26:B41,B41))),""))</f>
        <v/>
      </c>
      <c r="G41" s="10" t="str" cm="1">
        <f t="array" ref="G41">IF(ISBLANK(B41),"",IFERROR(INDEX(Fisa!$O$11:$O$38,_xlfn.AGGREGATE(15,6,(ROW(Fisa!$N$11:$N$38)-10)/(Fisa!$N$11:$N$38=B41),COUNTIF($B$26:B41,B41))),""))</f>
        <v/>
      </c>
      <c r="H41" s="10" t="str" cm="1">
        <f t="array" ref="H41">IF(ISBLANK(B41),"",IFERROR(INDEX(Fisa!$Q$11:$Q$38,_xlfn.AGGREGATE(15,6,(ROW(Fisa!$P$11:$P$38)-10)/(Fisa!$P$11:$P$38=B41),COUNTIF($B$26:B41,B41))),""))</f>
        <v/>
      </c>
      <c r="I41" s="10" t="str" cm="1">
        <f t="array" ref="I41">IF(ISBLANK(B41),"",IFERROR(INDEX(Fisa!$S$11:$S$38,_xlfn.AGGREGATE(15,6,(ROW(Fisa!$R$11:$R$38)-10)/(Fisa!$R$11:$R$38=B41),COUNTIF($B$26:B41,B41))),""))</f>
        <v/>
      </c>
      <c r="J41" s="5"/>
      <c r="K41" s="5"/>
      <c r="L41" s="5"/>
    </row>
    <row r="42" spans="2:12" customFormat="1">
      <c r="B42" s="10"/>
      <c r="C42" s="10" t="str" cm="1">
        <f t="array" ref="C42">IF(ISBLANK(B42),"",IFERROR(INDEX(Fisa!$G$11:$G$38,_xlfn.AGGREGATE(15,6,(ROW(Fisa!$F$11:$F$38)-10)/(Fisa!$F$11:$F$38=B42),COUNTIF($B$26:B42,B42))),""))</f>
        <v/>
      </c>
      <c r="D42" s="10" t="str" cm="1">
        <f t="array" ref="D42">IF(ISBLANK(B42),"",IFERROR(INDEX(Fisa!$I$11:$I$38,_xlfn.AGGREGATE(15,6,(ROW(Fisa!$H$11:$H$38)-10)/(Fisa!$H$11:$H$38=B42),COUNTIF($B$26:B42,B42))),""))</f>
        <v/>
      </c>
      <c r="E42" s="10" t="str" cm="1">
        <f t="array" ref="E42">IF(ISBLANK(B42),"",IFERROR(INDEX(Fisa!$K$11:$K$38,_xlfn.AGGREGATE(15,6,(ROW(Fisa!$J$11:$J$38)-10)/(Fisa!$J$11:$J$38=B42),COUNTIF($B$26:B42,B42))),""))</f>
        <v/>
      </c>
      <c r="F42" s="10" t="str" cm="1">
        <f t="array" ref="F42">IF(ISBLANK(B42),"",IFERROR(INDEX(Fisa!$M$11:$M$38,_xlfn.AGGREGATE(15,6,(ROW(Fisa!$L$11:$L$38)-10)/(Fisa!$L$11:$L$38=B42),COUNTIF($B$26:B42,B42))),""))</f>
        <v/>
      </c>
      <c r="G42" s="10" t="str" cm="1">
        <f t="array" ref="G42">IF(ISBLANK(B42),"",IFERROR(INDEX(Fisa!$O$11:$O$38,_xlfn.AGGREGATE(15,6,(ROW(Fisa!$N$11:$N$38)-10)/(Fisa!$N$11:$N$38=B42),COUNTIF($B$26:B42,B42))),""))</f>
        <v/>
      </c>
      <c r="H42" s="10" t="str" cm="1">
        <f t="array" ref="H42">IF(ISBLANK(B42),"",IFERROR(INDEX(Fisa!$Q$11:$Q$38,_xlfn.AGGREGATE(15,6,(ROW(Fisa!$P$11:$P$38)-10)/(Fisa!$P$11:$P$38=B42),COUNTIF($B$26:B42,B42))),""))</f>
        <v/>
      </c>
      <c r="I42" s="10" t="str" cm="1">
        <f t="array" ref="I42">IF(ISBLANK(B42),"",IFERROR(INDEX(Fisa!$S$11:$S$38,_xlfn.AGGREGATE(15,6,(ROW(Fisa!$R$11:$R$38)-10)/(Fisa!$R$11:$R$38=B42),COUNTIF($B$26:B42,B42))),""))</f>
        <v/>
      </c>
      <c r="J42" s="5"/>
      <c r="K42" s="5"/>
      <c r="L42" s="5"/>
    </row>
    <row r="43" spans="2:12" customFormat="1">
      <c r="B43" s="10"/>
      <c r="C43" s="10" t="str" cm="1">
        <f t="array" ref="C43">IF(ISBLANK(B43),"",IFERROR(INDEX(Fisa!$G$11:$G$38,_xlfn.AGGREGATE(15,6,(ROW(Fisa!$F$11:$F$38)-10)/(Fisa!$F$11:$F$38=B43),COUNTIF($B$26:B43,B43))),""))</f>
        <v/>
      </c>
      <c r="D43" s="10" t="str" cm="1">
        <f t="array" ref="D43">IF(ISBLANK(B43),"",IFERROR(INDEX(Fisa!$I$11:$I$38,_xlfn.AGGREGATE(15,6,(ROW(Fisa!$H$11:$H$38)-10)/(Fisa!$H$11:$H$38=B43),COUNTIF($B$26:B43,B43))),""))</f>
        <v/>
      </c>
      <c r="E43" s="10" t="str" cm="1">
        <f t="array" ref="E43">IF(ISBLANK(B43),"",IFERROR(INDEX(Fisa!$K$11:$K$38,_xlfn.AGGREGATE(15,6,(ROW(Fisa!$J$11:$J$38)-10)/(Fisa!$J$11:$J$38=B43),COUNTIF($B$26:B43,B43))),""))</f>
        <v/>
      </c>
      <c r="F43" s="10" t="str" cm="1">
        <f t="array" ref="F43">IF(ISBLANK(B43),"",IFERROR(INDEX(Fisa!$M$11:$M$38,_xlfn.AGGREGATE(15,6,(ROW(Fisa!$L$11:$L$38)-10)/(Fisa!$L$11:$L$38=B43),COUNTIF($B$26:B43,B43))),""))</f>
        <v/>
      </c>
      <c r="G43" s="10" t="str" cm="1">
        <f t="array" ref="G43">IF(ISBLANK(B43),"",IFERROR(INDEX(Fisa!$O$11:$O$38,_xlfn.AGGREGATE(15,6,(ROW(Fisa!$N$11:$N$38)-10)/(Fisa!$N$11:$N$38=B43),COUNTIF($B$26:B43,B43))),""))</f>
        <v/>
      </c>
      <c r="H43" s="10" t="str" cm="1">
        <f t="array" ref="H43">IF(ISBLANK(B43),"",IFERROR(INDEX(Fisa!$Q$11:$Q$38,_xlfn.AGGREGATE(15,6,(ROW(Fisa!$P$11:$P$38)-10)/(Fisa!$P$11:$P$38=B43),COUNTIF($B$26:B43,B43))),""))</f>
        <v/>
      </c>
      <c r="I43" s="10" t="str" cm="1">
        <f t="array" ref="I43">IF(ISBLANK(B43),"",IFERROR(INDEX(Fisa!$S$11:$S$38,_xlfn.AGGREGATE(15,6,(ROW(Fisa!$R$11:$R$38)-10)/(Fisa!$R$11:$R$38=B43),COUNTIF($B$26:B43,B43))),""))</f>
        <v/>
      </c>
      <c r="J43" s="5"/>
      <c r="K43" s="5"/>
      <c r="L43" s="5"/>
    </row>
    <row r="44" spans="2:12" customFormat="1">
      <c r="B44" s="10"/>
      <c r="C44" s="10" t="str" cm="1">
        <f t="array" ref="C44">IF(ISBLANK(B44),"",IFERROR(INDEX(Fisa!$G$11:$G$38,_xlfn.AGGREGATE(15,6,(ROW(Fisa!$F$11:$F$38)-10)/(Fisa!$F$11:$F$38=B44),COUNTIF($B$26:B44,B44))),""))</f>
        <v/>
      </c>
      <c r="D44" s="10" t="str" cm="1">
        <f t="array" ref="D44">IF(ISBLANK(B44),"",IFERROR(INDEX(Fisa!$I$11:$I$38,_xlfn.AGGREGATE(15,6,(ROW(Fisa!$H$11:$H$38)-10)/(Fisa!$H$11:$H$38=B44),COUNTIF($B$26:B44,B44))),""))</f>
        <v/>
      </c>
      <c r="E44" s="10" t="str" cm="1">
        <f t="array" ref="E44">IF(ISBLANK(B44),"",IFERROR(INDEX(Fisa!$K$11:$K$38,_xlfn.AGGREGATE(15,6,(ROW(Fisa!$J$11:$J$38)-10)/(Fisa!$J$11:$J$38=B44),COUNTIF($B$26:B44,B44))),""))</f>
        <v/>
      </c>
      <c r="F44" s="10" t="str" cm="1">
        <f t="array" ref="F44">IF(ISBLANK(B44),"",IFERROR(INDEX(Fisa!$M$11:$M$38,_xlfn.AGGREGATE(15,6,(ROW(Fisa!$L$11:$L$38)-10)/(Fisa!$L$11:$L$38=B44),COUNTIF($B$26:B44,B44))),""))</f>
        <v/>
      </c>
      <c r="G44" s="10" t="str" cm="1">
        <f t="array" ref="G44">IF(ISBLANK(B44),"",IFERROR(INDEX(Fisa!$O$11:$O$38,_xlfn.AGGREGATE(15,6,(ROW(Fisa!$N$11:$N$38)-10)/(Fisa!$N$11:$N$38=B44),COUNTIF($B$26:B44,B44))),""))</f>
        <v/>
      </c>
      <c r="H44" s="10" t="str" cm="1">
        <f t="array" ref="H44">IF(ISBLANK(B44),"",IFERROR(INDEX(Fisa!$Q$11:$Q$38,_xlfn.AGGREGATE(15,6,(ROW(Fisa!$P$11:$P$38)-10)/(Fisa!$P$11:$P$38=B44),COUNTIF($B$26:B44,B44))),""))</f>
        <v/>
      </c>
      <c r="I44" s="10" t="str" cm="1">
        <f t="array" ref="I44">IF(ISBLANK(B44),"",IFERROR(INDEX(Fisa!$S$11:$S$38,_xlfn.AGGREGATE(15,6,(ROW(Fisa!$R$11:$R$38)-10)/(Fisa!$R$11:$R$38=B44),COUNTIF($B$26:B44,B44))),""))</f>
        <v/>
      </c>
      <c r="J44" s="5"/>
      <c r="K44" s="5"/>
      <c r="L44" s="5"/>
    </row>
    <row r="45" spans="2:12" customFormat="1">
      <c r="B45" s="10"/>
      <c r="C45" s="10" t="str" cm="1">
        <f t="array" ref="C45">IF(ISBLANK(B45),"",IFERROR(INDEX(Fisa!$G$11:$G$38,_xlfn.AGGREGATE(15,6,(ROW(Fisa!$F$11:$F$38)-10)/(Fisa!$F$11:$F$38=B45),COUNTIF($B$26:B45,B45))),""))</f>
        <v/>
      </c>
      <c r="D45" s="10" t="str" cm="1">
        <f t="array" ref="D45">IF(ISBLANK(B45),"",IFERROR(INDEX(Fisa!$I$11:$I$38,_xlfn.AGGREGATE(15,6,(ROW(Fisa!$H$11:$H$38)-10)/(Fisa!$H$11:$H$38=B45),COUNTIF($B$26:B45,B45))),""))</f>
        <v/>
      </c>
      <c r="E45" s="10" t="str" cm="1">
        <f t="array" ref="E45">IF(ISBLANK(B45),"",IFERROR(INDEX(Fisa!$K$11:$K$38,_xlfn.AGGREGATE(15,6,(ROW(Fisa!$J$11:$J$38)-10)/(Fisa!$J$11:$J$38=B45),COUNTIF($B$26:B45,B45))),""))</f>
        <v/>
      </c>
      <c r="F45" s="10" t="str" cm="1">
        <f t="array" ref="F45">IF(ISBLANK(B45),"",IFERROR(INDEX(Fisa!$M$11:$M$38,_xlfn.AGGREGATE(15,6,(ROW(Fisa!$L$11:$L$38)-10)/(Fisa!$L$11:$L$38=B45),COUNTIF($B$26:B45,B45))),""))</f>
        <v/>
      </c>
      <c r="G45" s="10" t="str" cm="1">
        <f t="array" ref="G45">IF(ISBLANK(B45),"",IFERROR(INDEX(Fisa!$O$11:$O$38,_xlfn.AGGREGATE(15,6,(ROW(Fisa!$N$11:$N$38)-10)/(Fisa!$N$11:$N$38=B45),COUNTIF($B$26:B45,B45))),""))</f>
        <v/>
      </c>
      <c r="H45" s="10" t="str" cm="1">
        <f t="array" ref="H45">IF(ISBLANK(B45),"",IFERROR(INDEX(Fisa!$Q$11:$Q$38,_xlfn.AGGREGATE(15,6,(ROW(Fisa!$P$11:$P$38)-10)/(Fisa!$P$11:$P$38=B45),COUNTIF($B$26:B45,B45))),""))</f>
        <v/>
      </c>
      <c r="I45" s="10" t="str" cm="1">
        <f t="array" ref="I45">IF(ISBLANK(B45),"",IFERROR(INDEX(Fisa!$S$11:$S$38,_xlfn.AGGREGATE(15,6,(ROW(Fisa!$R$11:$R$38)-10)/(Fisa!$R$11:$R$38=B45),COUNTIF($B$26:B45,B45))),""))</f>
        <v/>
      </c>
      <c r="J45" s="5"/>
      <c r="K45" s="5"/>
      <c r="L45" s="5"/>
    </row>
    <row r="46" spans="2:12" customFormat="1">
      <c r="B46" s="10"/>
      <c r="C46" s="10" t="str" cm="1">
        <f t="array" ref="C46">IF(ISBLANK(B46),"",IFERROR(INDEX(Fisa!$G$11:$G$38,_xlfn.AGGREGATE(15,6,(ROW(Fisa!$F$11:$F$38)-10)/(Fisa!$F$11:$F$38=B46),COUNTIF($B$26:B46,B46))),""))</f>
        <v/>
      </c>
      <c r="D46" s="10" t="str" cm="1">
        <f t="array" ref="D46">IF(ISBLANK(B46),"",IFERROR(INDEX(Fisa!$I$11:$I$38,_xlfn.AGGREGATE(15,6,(ROW(Fisa!$H$11:$H$38)-10)/(Fisa!$H$11:$H$38=B46),COUNTIF($B$26:B46,B46))),""))</f>
        <v/>
      </c>
      <c r="E46" s="10" t="str" cm="1">
        <f t="array" ref="E46">IF(ISBLANK(B46),"",IFERROR(INDEX(Fisa!$K$11:$K$38,_xlfn.AGGREGATE(15,6,(ROW(Fisa!$J$11:$J$38)-10)/(Fisa!$J$11:$J$38=B46),COUNTIF($B$26:B46,B46))),""))</f>
        <v/>
      </c>
      <c r="F46" s="10" t="str" cm="1">
        <f t="array" ref="F46">IF(ISBLANK(B46),"",IFERROR(INDEX(Fisa!$M$11:$M$38,_xlfn.AGGREGATE(15,6,(ROW(Fisa!$L$11:$L$38)-10)/(Fisa!$L$11:$L$38=B46),COUNTIF($B$26:B46,B46))),""))</f>
        <v/>
      </c>
      <c r="G46" s="10" t="str" cm="1">
        <f t="array" ref="G46">IF(ISBLANK(B46),"",IFERROR(INDEX(Fisa!$O$11:$O$38,_xlfn.AGGREGATE(15,6,(ROW(Fisa!$N$11:$N$38)-10)/(Fisa!$N$11:$N$38=B46),COUNTIF($B$26:B46,B46))),""))</f>
        <v/>
      </c>
      <c r="H46" s="10" t="str" cm="1">
        <f t="array" ref="H46">IF(ISBLANK(B46),"",IFERROR(INDEX(Fisa!$Q$11:$Q$38,_xlfn.AGGREGATE(15,6,(ROW(Fisa!$P$11:$P$38)-10)/(Fisa!$P$11:$P$38=B46),COUNTIF($B$26:B46,B46))),""))</f>
        <v/>
      </c>
      <c r="I46" s="10" t="str" cm="1">
        <f t="array" ref="I46">IF(ISBLANK(B46),"",IFERROR(INDEX(Fisa!$S$11:$S$38,_xlfn.AGGREGATE(15,6,(ROW(Fisa!$R$11:$R$38)-10)/(Fisa!$R$11:$R$38=B46),COUNTIF($B$26:B46,B46))),""))</f>
        <v/>
      </c>
      <c r="J46" s="5"/>
      <c r="K46" s="5"/>
      <c r="L46" s="5"/>
    </row>
    <row r="47" spans="2:12" customFormat="1">
      <c r="B47" s="10"/>
      <c r="C47" s="10" t="str" cm="1">
        <f t="array" ref="C47">IF(ISBLANK(B47),"",IFERROR(INDEX(Fisa!$G$11:$G$38,_xlfn.AGGREGATE(15,6,(ROW(Fisa!$F$11:$F$38)-10)/(Fisa!$F$11:$F$38=B47),COUNTIF($B$26:B47,B47))),""))</f>
        <v/>
      </c>
      <c r="D47" s="10" t="str" cm="1">
        <f t="array" ref="D47">IF(ISBLANK(B47),"",IFERROR(INDEX(Fisa!$I$11:$I$38,_xlfn.AGGREGATE(15,6,(ROW(Fisa!$H$11:$H$38)-10)/(Fisa!$H$11:$H$38=B47),COUNTIF($B$26:B47,B47))),""))</f>
        <v/>
      </c>
      <c r="E47" s="10" t="str" cm="1">
        <f t="array" ref="E47">IF(ISBLANK(B47),"",IFERROR(INDEX(Fisa!$K$11:$K$38,_xlfn.AGGREGATE(15,6,(ROW(Fisa!$J$11:$J$38)-10)/(Fisa!$J$11:$J$38=B47),COUNTIF($B$26:B47,B47))),""))</f>
        <v/>
      </c>
      <c r="F47" s="10" t="str" cm="1">
        <f t="array" ref="F47">IF(ISBLANK(B47),"",IFERROR(INDEX(Fisa!$M$11:$M$38,_xlfn.AGGREGATE(15,6,(ROW(Fisa!$L$11:$L$38)-10)/(Fisa!$L$11:$L$38=B47),COUNTIF($B$26:B47,B47))),""))</f>
        <v/>
      </c>
      <c r="G47" s="10" t="str" cm="1">
        <f t="array" ref="G47">IF(ISBLANK(B47),"",IFERROR(INDEX(Fisa!$O$11:$O$38,_xlfn.AGGREGATE(15,6,(ROW(Fisa!$N$11:$N$38)-10)/(Fisa!$N$11:$N$38=B47),COUNTIF($B$26:B47,B47))),""))</f>
        <v/>
      </c>
      <c r="H47" s="10" t="str" cm="1">
        <f t="array" ref="H47">IF(ISBLANK(B47),"",IFERROR(INDEX(Fisa!$Q$11:$Q$38,_xlfn.AGGREGATE(15,6,(ROW(Fisa!$P$11:$P$38)-10)/(Fisa!$P$11:$P$38=B47),COUNTIF($B$26:B47,B47))),""))</f>
        <v/>
      </c>
      <c r="I47" s="10" t="str" cm="1">
        <f t="array" ref="I47">IF(ISBLANK(B47),"",IFERROR(INDEX(Fisa!$S$11:$S$38,_xlfn.AGGREGATE(15,6,(ROW(Fisa!$R$11:$R$38)-10)/(Fisa!$R$11:$R$38=B47),COUNTIF($B$26:B47,B47))),""))</f>
        <v/>
      </c>
      <c r="J47" s="5"/>
      <c r="K47" s="5"/>
      <c r="L47" s="5"/>
    </row>
    <row r="48" spans="2:12" customFormat="1">
      <c r="B48" s="10"/>
      <c r="C48" s="10" t="str" cm="1">
        <f t="array" ref="C48">IF(ISBLANK(B48),"",IFERROR(INDEX(Fisa!$G$11:$G$38,_xlfn.AGGREGATE(15,6,(ROW(Fisa!$F$11:$F$38)-10)/(Fisa!$F$11:$F$38=B48),COUNTIF($B$26:B48,B48))),""))</f>
        <v/>
      </c>
      <c r="D48" s="10" t="str" cm="1">
        <f t="array" ref="D48">IF(ISBLANK(B48),"",IFERROR(INDEX(Fisa!$I$11:$I$38,_xlfn.AGGREGATE(15,6,(ROW(Fisa!$H$11:$H$38)-10)/(Fisa!$H$11:$H$38=B48),COUNTIF($B$26:B48,B48))),""))</f>
        <v/>
      </c>
      <c r="E48" s="10" t="str" cm="1">
        <f t="array" ref="E48">IF(ISBLANK(B48),"",IFERROR(INDEX(Fisa!$K$11:$K$38,_xlfn.AGGREGATE(15,6,(ROW(Fisa!$J$11:$J$38)-10)/(Fisa!$J$11:$J$38=B48),COUNTIF($B$26:B48,B48))),""))</f>
        <v/>
      </c>
      <c r="F48" s="10" t="str" cm="1">
        <f t="array" ref="F48">IF(ISBLANK(B48),"",IFERROR(INDEX(Fisa!$M$11:$M$38,_xlfn.AGGREGATE(15,6,(ROW(Fisa!$L$11:$L$38)-10)/(Fisa!$L$11:$L$38=B48),COUNTIF($B$26:B48,B48))),""))</f>
        <v/>
      </c>
      <c r="G48" s="10" t="str" cm="1">
        <f t="array" ref="G48">IF(ISBLANK(B48),"",IFERROR(INDEX(Fisa!$O$11:$O$38,_xlfn.AGGREGATE(15,6,(ROW(Fisa!$N$11:$N$38)-10)/(Fisa!$N$11:$N$38=B48),COUNTIF($B$26:B48,B48))),""))</f>
        <v/>
      </c>
      <c r="H48" s="10" t="str" cm="1">
        <f t="array" ref="H48">IF(ISBLANK(B48),"",IFERROR(INDEX(Fisa!$Q$11:$Q$38,_xlfn.AGGREGATE(15,6,(ROW(Fisa!$P$11:$P$38)-10)/(Fisa!$P$11:$P$38=B48),COUNTIF($B$26:B48,B48))),""))</f>
        <v/>
      </c>
      <c r="I48" s="10" t="str" cm="1">
        <f t="array" ref="I48">IF(ISBLANK(B48),"",IFERROR(INDEX(Fisa!$S$11:$S$38,_xlfn.AGGREGATE(15,6,(ROW(Fisa!$R$11:$R$38)-10)/(Fisa!$R$11:$R$38=B48),COUNTIF($B$26:B48,B48))),""))</f>
        <v/>
      </c>
      <c r="J48" s="5"/>
      <c r="K48" s="5"/>
      <c r="L48" s="5"/>
    </row>
    <row r="49" spans="1:29" customFormat="1">
      <c r="A49" s="6" t="s">
        <v>10</v>
      </c>
      <c r="B49" s="8" t="s">
        <v>2</v>
      </c>
      <c r="C49" s="8" t="str">
        <f>IF(Fisa!I3="Debitare căntuire", "Coli", "Mp")</f>
        <v>Mp</v>
      </c>
      <c r="D49" s="5"/>
      <c r="E49" s="5"/>
      <c r="F49" s="5"/>
      <c r="G49" s="5"/>
      <c r="H49" s="5"/>
      <c r="I49" s="5"/>
      <c r="J49" s="5"/>
      <c r="K49" s="5"/>
      <c r="L49" s="5"/>
    </row>
    <row r="50" spans="1:29" customFormat="1">
      <c r="B50" s="10" t="str">
        <f>Fisa!B24</f>
        <v/>
      </c>
      <c r="C50" s="10" t="str">
        <f>Fisa!C24</f>
        <v/>
      </c>
      <c r="D50" s="5"/>
      <c r="E50" s="5"/>
      <c r="F50" s="5"/>
      <c r="G50" s="5"/>
      <c r="H50" s="5"/>
      <c r="I50" s="5"/>
      <c r="J50" s="5"/>
      <c r="K50" s="5"/>
      <c r="L50" s="5"/>
    </row>
    <row r="51" spans="1:29" customFormat="1">
      <c r="B51" s="10" t="str">
        <f>Fisa!B25</f>
        <v/>
      </c>
      <c r="C51" s="10" t="str">
        <f>Fisa!C25</f>
        <v/>
      </c>
      <c r="D51" s="5"/>
      <c r="E51" s="5"/>
      <c r="F51" s="5"/>
      <c r="G51" s="5"/>
      <c r="H51" s="5"/>
      <c r="I51" s="5"/>
      <c r="J51" s="5"/>
      <c r="K51" s="5"/>
      <c r="L51" s="5"/>
    </row>
    <row r="52" spans="1:29" customFormat="1">
      <c r="B52" s="10" t="str">
        <f>Fisa!B26</f>
        <v/>
      </c>
      <c r="C52" s="10" t="str">
        <f>Fisa!C26</f>
        <v/>
      </c>
      <c r="D52" s="5"/>
      <c r="E52" s="5"/>
      <c r="F52" s="5"/>
      <c r="G52" s="5"/>
      <c r="H52" s="5"/>
      <c r="I52" s="5"/>
      <c r="J52" s="5"/>
      <c r="K52" s="5"/>
      <c r="L52" s="5"/>
    </row>
    <row r="53" spans="1:29" customFormat="1">
      <c r="B53" s="10" t="str">
        <f>Fisa!B27</f>
        <v/>
      </c>
      <c r="C53" s="10" t="str">
        <f>Fisa!C27</f>
        <v/>
      </c>
      <c r="D53" s="5"/>
      <c r="E53" s="5"/>
      <c r="F53" s="5"/>
      <c r="G53" s="5"/>
      <c r="H53" s="5"/>
      <c r="I53" s="5"/>
      <c r="J53" s="5"/>
      <c r="K53" s="5"/>
      <c r="L53" s="5"/>
    </row>
    <row r="54" spans="1:29" customFormat="1">
      <c r="B54" s="10" t="str">
        <f>Fisa!B28</f>
        <v/>
      </c>
      <c r="C54" s="10" t="str">
        <f>Fisa!C28</f>
        <v/>
      </c>
      <c r="D54" s="5"/>
      <c r="E54" s="5"/>
      <c r="F54" s="5"/>
      <c r="G54" s="5"/>
      <c r="H54" s="5"/>
      <c r="I54" s="5"/>
      <c r="J54" s="5"/>
      <c r="K54" s="5"/>
      <c r="L54" s="5"/>
    </row>
    <row r="55" spans="1:29" customFormat="1">
      <c r="A55" s="6" t="s">
        <v>11</v>
      </c>
      <c r="B55" s="10" t="str">
        <f>Fisa!B30</f>
        <v/>
      </c>
      <c r="C55" s="10" t="str">
        <f>Fisa!C30</f>
        <v/>
      </c>
      <c r="D55" s="5"/>
      <c r="E55" s="5"/>
      <c r="F55" s="5"/>
      <c r="G55" s="5"/>
      <c r="H55" s="5"/>
      <c r="I55" s="5"/>
      <c r="J55" s="5"/>
      <c r="K55" s="5"/>
      <c r="L55" s="5"/>
    </row>
    <row r="56" spans="1:29" customFormat="1">
      <c r="A56" s="6" t="s">
        <v>12</v>
      </c>
      <c r="B56" s="8" t="s">
        <v>2</v>
      </c>
      <c r="C56" s="8" t="s">
        <v>13</v>
      </c>
      <c r="D56" s="5"/>
      <c r="E56" s="5"/>
      <c r="F56" s="5"/>
      <c r="G56" s="5"/>
      <c r="H56" s="5"/>
      <c r="I56" s="5"/>
      <c r="J56" s="5"/>
      <c r="K56" s="5"/>
      <c r="L56" s="5"/>
    </row>
    <row r="57" spans="1:29" customFormat="1">
      <c r="B57" s="10" t="str">
        <f>Fisa!B32</f>
        <v/>
      </c>
      <c r="C57" s="10" t="str">
        <f>Fisa!C32</f>
        <v/>
      </c>
      <c r="D57" s="5"/>
      <c r="E57" s="5"/>
      <c r="F57" s="5"/>
      <c r="G57" s="5"/>
      <c r="H57" s="5"/>
      <c r="I57" s="5"/>
      <c r="J57" s="5"/>
      <c r="K57" s="5"/>
      <c r="L57" s="5"/>
    </row>
    <row r="58" spans="1:29" customFormat="1">
      <c r="B58" s="10" t="str">
        <f>Fisa!B33</f>
        <v/>
      </c>
      <c r="C58" s="10" t="str">
        <f>Fisa!C33</f>
        <v/>
      </c>
      <c r="D58" s="5"/>
      <c r="E58" s="5"/>
      <c r="F58" s="5"/>
      <c r="G58" s="5"/>
      <c r="H58" s="5"/>
      <c r="I58" s="5"/>
      <c r="J58" s="5"/>
      <c r="K58" s="5"/>
      <c r="L58" s="5"/>
    </row>
    <row r="59" spans="1:29" customFormat="1">
      <c r="B59" s="10" t="str">
        <f>Fisa!B34</f>
        <v/>
      </c>
      <c r="C59" s="10" t="str">
        <f>Fisa!C34</f>
        <v/>
      </c>
      <c r="D59" s="5"/>
      <c r="E59" s="5"/>
      <c r="F59" s="5"/>
      <c r="G59" s="5"/>
      <c r="H59" s="5"/>
      <c r="I59" s="5"/>
      <c r="J59" s="5"/>
      <c r="K59" s="5"/>
      <c r="L59" s="5"/>
    </row>
    <row r="60" spans="1:29" customFormat="1">
      <c r="A60" s="7" t="s">
        <v>95</v>
      </c>
      <c r="B60" s="10" t="str">
        <f>Fisa!B36</f>
        <v/>
      </c>
      <c r="C60" s="10" t="str">
        <f>Fisa!C36</f>
        <v/>
      </c>
      <c r="D60" s="5"/>
      <c r="E60" s="5"/>
      <c r="F60" s="5"/>
      <c r="G60" s="5"/>
      <c r="H60" s="5"/>
      <c r="I60" s="5"/>
      <c r="J60" s="5"/>
      <c r="K60" s="5"/>
      <c r="L60" s="5"/>
    </row>
    <row r="61" spans="1:29" customFormat="1">
      <c r="A61" s="99"/>
      <c r="B61" s="10" t="str">
        <f>Fisa!B37</f>
        <v/>
      </c>
      <c r="C61" s="10" t="str">
        <f>Fisa!C37</f>
        <v/>
      </c>
      <c r="D61" s="5"/>
      <c r="E61" s="5"/>
      <c r="F61" s="5"/>
      <c r="G61" s="5"/>
      <c r="H61" s="5"/>
      <c r="I61" s="5"/>
      <c r="J61" s="5"/>
      <c r="K61" s="5"/>
      <c r="L61" s="5"/>
    </row>
    <row r="62" spans="1:29" customFormat="1">
      <c r="A62" s="100"/>
      <c r="B62" s="10" t="str">
        <f>Fisa!B38</f>
        <v/>
      </c>
      <c r="C62" s="10" t="str">
        <f>Fisa!C38</f>
        <v/>
      </c>
      <c r="D62" s="5"/>
      <c r="E62" s="5"/>
      <c r="F62" s="5"/>
      <c r="G62" s="5"/>
      <c r="H62" s="5"/>
      <c r="I62" s="5"/>
      <c r="J62" s="5"/>
      <c r="K62" s="5"/>
      <c r="L62" s="5"/>
    </row>
    <row r="63" spans="1:29">
      <c r="A63" t="s">
        <v>6</v>
      </c>
      <c r="B63" s="15"/>
      <c r="C63" s="16"/>
      <c r="D63" s="16"/>
      <c r="E63" s="16"/>
      <c r="F63" s="16"/>
      <c r="G63" s="16"/>
      <c r="H63" s="16"/>
      <c r="I63" s="16"/>
      <c r="J63" s="16"/>
      <c r="K63" s="11"/>
      <c r="L63" s="5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</row>
    <row r="64" spans="1:29">
      <c r="A64"/>
      <c r="B64" s="16"/>
      <c r="C64" s="16"/>
      <c r="D64" s="16"/>
      <c r="E64" s="16"/>
      <c r="F64" s="16"/>
      <c r="G64" s="16"/>
      <c r="H64" s="16"/>
      <c r="I64" s="16"/>
      <c r="J64" s="16"/>
      <c r="K64" s="11"/>
      <c r="L64" s="5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</row>
    <row r="65" spans="1:29">
      <c r="A65"/>
      <c r="B65" s="16"/>
      <c r="C65" s="16"/>
      <c r="D65" s="16"/>
      <c r="E65" s="16"/>
      <c r="F65" s="16"/>
      <c r="G65" s="16"/>
      <c r="H65" s="16"/>
      <c r="I65" s="16"/>
      <c r="J65" s="16"/>
      <c r="K65" s="11"/>
      <c r="L65" s="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</row>
    <row r="66" spans="1:29">
      <c r="A66"/>
      <c r="B66" s="16"/>
      <c r="C66" s="16"/>
      <c r="D66" s="16"/>
      <c r="E66" s="16"/>
      <c r="F66" s="16"/>
      <c r="G66" s="16"/>
      <c r="H66" s="16"/>
      <c r="I66" s="16"/>
      <c r="J66" s="16"/>
      <c r="K66" s="11"/>
      <c r="L66" s="5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</row>
    <row r="67" spans="1:29">
      <c r="A67"/>
      <c r="B67" s="16"/>
      <c r="C67" s="16"/>
      <c r="D67" s="16"/>
      <c r="E67" s="16"/>
      <c r="F67" s="16"/>
      <c r="G67" s="16"/>
      <c r="H67" s="16"/>
      <c r="I67" s="16"/>
      <c r="J67" s="16"/>
      <c r="K67" s="11"/>
      <c r="L67" s="5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</row>
    <row r="68" spans="1:29">
      <c r="A68"/>
      <c r="B68" s="16"/>
      <c r="C68" s="16"/>
      <c r="D68" s="16"/>
      <c r="E68" s="16"/>
      <c r="F68" s="16"/>
      <c r="G68" s="16"/>
      <c r="H68" s="16"/>
      <c r="I68" s="16"/>
      <c r="J68" s="16"/>
      <c r="K68" s="11"/>
      <c r="L68" s="5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</row>
    <row r="69" spans="1:29" customFormat="1"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</row>
    <row r="70" spans="1:29" customFormat="1"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</row>
    <row r="71" spans="1:29" customFormat="1"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</row>
    <row r="72" spans="1:29" customFormat="1"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</row>
    <row r="73" spans="1:29" customFormat="1"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</row>
    <row r="74" spans="1:29" customFormat="1"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</row>
    <row r="75" spans="1:29" customFormat="1"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</row>
    <row r="76" spans="1:29" customFormat="1"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</row>
    <row r="77" spans="1:29" customFormat="1"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</row>
    <row r="78" spans="1:29" customFormat="1"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</row>
    <row r="79" spans="1:29" customFormat="1"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</row>
    <row r="80" spans="1:29" customFormat="1"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</row>
    <row r="81" spans="2:12" customFormat="1"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</row>
    <row r="82" spans="2:12" customFormat="1"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</row>
    <row r="83" spans="2:12" customFormat="1"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</row>
    <row r="84" spans="2:12" customFormat="1"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</row>
    <row r="85" spans="2:12" customFormat="1"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</row>
    <row r="86" spans="2:12" customFormat="1"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</row>
    <row r="87" spans="2:12" customFormat="1"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</row>
    <row r="88" spans="2:12" customFormat="1"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</row>
    <row r="89" spans="2:12" customFormat="1"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</row>
    <row r="90" spans="2:12" customFormat="1"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</row>
    <row r="91" spans="2:12" customFormat="1"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</row>
  </sheetData>
  <sheetProtection selectLockedCells="1"/>
  <mergeCells count="3">
    <mergeCell ref="A1:J1"/>
    <mergeCell ref="B3:G3"/>
    <mergeCell ref="B4:C4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48918-A7C3-43E1-9261-72D16FD14B4A}">
  <dimension ref="A1:AA34"/>
  <sheetViews>
    <sheetView tabSelected="1" zoomScaleNormal="100" workbookViewId="0">
      <selection activeCell="M14" sqref="M14"/>
    </sheetView>
  </sheetViews>
  <sheetFormatPr defaultRowHeight="15"/>
  <cols>
    <col min="1" max="1" width="22.42578125" bestFit="1" customWidth="1"/>
    <col min="18" max="18" width="9.140625" style="130"/>
    <col min="20" max="20" width="9.140625" customWidth="1"/>
    <col min="21" max="21" width="4.140625" customWidth="1"/>
    <col min="22" max="22" width="9.140625" style="133"/>
    <col min="24" max="24" width="19.5703125" bestFit="1" customWidth="1"/>
    <col min="25" max="25" width="19.140625" bestFit="1" customWidth="1"/>
    <col min="27" max="27" width="13.140625" bestFit="1" customWidth="1"/>
  </cols>
  <sheetData>
    <row r="1" spans="1:27">
      <c r="A1" t="s">
        <v>67</v>
      </c>
      <c r="B1" t="s">
        <v>98</v>
      </c>
      <c r="C1" t="s">
        <v>99</v>
      </c>
      <c r="D1" t="s">
        <v>100</v>
      </c>
      <c r="E1" t="s">
        <v>101</v>
      </c>
      <c r="V1" s="133" t="s">
        <v>3</v>
      </c>
      <c r="W1" t="s">
        <v>103</v>
      </c>
      <c r="X1" t="s">
        <v>104</v>
      </c>
      <c r="Y1" t="s">
        <v>105</v>
      </c>
      <c r="Z1" t="s">
        <v>107</v>
      </c>
      <c r="AA1" t="s">
        <v>115</v>
      </c>
    </row>
    <row r="2" spans="1:27">
      <c r="R2" s="131"/>
      <c r="S2" s="128"/>
      <c r="T2" s="115"/>
      <c r="U2" s="115"/>
      <c r="V2" s="133" t="str">
        <f>IFERROR(IF(OR(W2="DB PAL",W2="DB MDF"),ROUND(Q2/13.5,0), ROUND(Q2/P2,2)),"")</f>
        <v/>
      </c>
      <c r="W2" t="str">
        <f>IF(
    AND(
        OR(
            AND(D2=2800,E2=2070,OR(B2=19,B2=19.3)),
            AND(D2=2800,E2=1220,B2=18),
            AND(D2=3050,E2=1300,B2=19),
            AND(D2=3050,E2=1310,B2=19),
            AND(D2=2800,E2=1300,OR(B2=17.5,B2=18.5,B2=19)),
            AND(RIGHT(A2,6)="MDF 3D",B2&lt;&gt;36)
        ),
        NOT(OR(
            ISNUMBER(FIND(" TM",A2)),
            ISNUMBER(FIND("TM/ST",A2))
        )),
        RIGHT(A2,6)&lt;&gt;"ROH P2"
    ),
    "MDF",
    IF(
        AND(
            D2=2800,
            OR(E2=2070,E2=1000),
            OR(B2=18,B2=18.6,B2=8,B2=10,B2=16,B2=19),
            RIGHT(A2,6)&lt;&gt;"MDF 3D"
        ),
        "PAL",
        IF(
            AND(
                D2=2800,
                E2=2070,
                OR(B2=19,B2=19.3),
                OR(ISNUMBER(FIND(" TM",A2)),ISNUMBER(FIND("TM/ST",A2)))
            ),
            "PAL",
            IF(
                AND(
                    D2=2800,
                    E2=2070,
                    OR(B2=38,B2=38.6,B2=36,B2=37.2,B2=32,B2=26,B2=28),
                    OR(ISNUMBER(FIND(" TM",A2)),ISNUMBER(FIND("TM/ST",A2)))
                ),
                "DB PAL",
                IF(
                    AND(
                        D2=4100,
                        OR(E2=600,E2=650,E2=920,E2=1200),
                        OR(B2=38,B2=20)
                    ),
                    "BLAT",
                    IF(
                        AND(
                            D2=4100,
                            OR(E2=600,E2=650,E2=920),
                            OR(B2=12)
                        ),
                        "LC",
                        IF(
                            AND(
                                D2=4100,
                                E2=640,
                                OR(B2=9.2,B2=8,B2=8.8)
                            ),
                            "PS",
                            IF(
                                AND(
                                    OR(
                                        AND(D2=2800,E2=2070,OR(B2=38,B2=38.6)),
                                        AND(D2=2800,E2=1220,B2=36),
                                        AND(D2=3050,OR(E2=1300,E2=1310),OR(B2=38.6,B2=38,B2=38.1)),
                                        AND(D2=2800,E2=1300,B2=35),
                                        AND(D2=2800,E2=1300,B2=38),
                                        AND(RIGHT(A2,6)="MDF 3D",B2=36)
                                    ),
                                    NOT(OR(ISNUMBER(FIND(" TM",A2)),ISNUMBER(FIND("TM/ST",A2))))
                                ),
                                "DB MDF",
                                IF(
                                    AND(
                                        D2=2800,
                                        E2=2070,
                                        OR(B2=36,B2=37.2,B2=32,B2=26,B2=28),
                                        RIGHT(A2,6)&lt;&gt;"MDF 3D"
                                    ),
                                    "DB PAL",
                                    IF(B2=2.7,"HDF","N/A")
                                )
                            )
                        )
                    )
                )
            )
        )
    )
)</f>
        <v>N/A</v>
      </c>
      <c r="X2" t="str">
        <f t="shared" ref="X2:X34" si="0">IFERROR(
IF(
ISNUMBER(SEARCH("2461LT",A2)),
"Rehau 2461LT",
IF(
ISNUMBER(SEARCH("3146L",A2)),
"Rehau 3146L",
IF(
ISNUMBER(SEARCH("1918L",A2)),
"Rehau 1918L",
IF(
ISNUMBER(--LEFT(SUBSTITUTE(TRIM(MID(A2,FIND("-",A2)+1,50)),"LR ","LR"),1)),
"AGT "&amp;SUBSTITUTE(TRIM(MID(A2,FIND("-",A2)+1,50)),"LR ","LR"),
SUBSTITUTE(TRIM(MID(A2,FIND("-",A2)+1,50)),"LR ","LR")
)
)
)
)
&amp;IF(OR(E2=600,E2=650,E2=920)," /"&amp;E2,"")
&amp;IF(E2=640," PS","")
&amp;IF(AND(OR(B2=8,B2=10,B2=16),D2=2800,E2=2070)," "&amp;B2&amp;"mm",""),
"")</f>
        <v/>
      </c>
      <c r="Y2" t="str">
        <f>IF(W2="","",
    IF(
        OR(
            ISNUMBER(FIND(" ST",X2)),
            ISNUMBER(FIND(" SM",X2)),
            ISNUMBER(FIND(" PM",X2)),
            ISNUMBER(FIND(" TM",X2)),
            ISNUMBER(FIND(" PG",X2)),
            ISNUMBER(FIND(" PA",X2))
        ),
        IF(OR(E2=600,E2=650,E2=920),
            SUBSTITUTE(X2," ","",1),
            IFERROR(LEFT(SUBSTITUTE(X2," ","",1), FIND("/",SUBSTITUTE(X2," ","",1))-1), SUBSTITUTE(X2," ","",1))
        ),
        IF(OR(E2=600,E2=650,E2=920),
            X2,
            IFERROR(LEFT(X2, FIND("/",X2)-1), X2)
        )
    )
    &amp;IF(W2="LC"," LC","")
)</f>
        <v/>
      </c>
      <c r="Z2" t="str">
        <f>IF(
    OR(W2="DB PAL",W2="DB MDF"),
    IF(
        OR(
            ISNUMBER(FIND(" ST",X2)),
            ISNUMBER(FIND(" SM",X2)),
            ISNUMBER(FIND(" PM",X2)),
            ISNUMBER(FIND("TM/ST7",X2)),
            ISNUMBER(FIND(" PG",X2)),
            ISNUMBER(FIND(" PA",X2))
        ),
        IFERROR(LEFT(SUBSTITUTE(X2," ","",1), FIND("/",SUBSTITUTE(X2," ","",1))-1), SUBSTITUTE(X2," ","",1)),
        IFERROR(LEFT(X2, FIND("/",X2)-1), X2)
    ),
    " "
)</f>
        <v xml:space="preserve"> </v>
      </c>
      <c r="AA2" t="str">
        <f>IF(OR(W2="DB PAL",W2="DB MDF"), IF(V2=INT(V2),"OK", "Vezi EK"),"")</f>
        <v/>
      </c>
    </row>
    <row r="3" spans="1:27">
      <c r="R3" s="131"/>
      <c r="S3" s="128"/>
      <c r="T3" s="106"/>
      <c r="U3" s="115"/>
      <c r="V3" s="133" t="str">
        <f t="shared" ref="V3:V34" si="1">IFERROR(IF(OR(W3="DB PAL",W3="DB MDF"),ROUND(Q3/13.5,0), ROUND(Q3/P3,2)),"")</f>
        <v/>
      </c>
      <c r="W3" t="str">
        <f t="shared" ref="W3:W34" si="2">IF(
    AND(
        OR(
            AND(D3=2800,E3=2070,OR(B3=19,B3=19.3)),
            AND(D3=2800,E3=1220,B3=18),
            AND(D3=3050,E3=1300,B3=19),
            AND(D3=3050,E3=1310,B3=19),
            AND(D3=2800,E3=1300,OR(B3=17.5,B3=18.5,B3=19)),
            AND(RIGHT(A3,6)="MDF 3D",B3&lt;&gt;36)
        ),
        NOT(OR(
            ISNUMBER(FIND(" TM",A3)),
            ISNUMBER(FIND("TM/ST",A3))
        )),
        RIGHT(A3,6)&lt;&gt;"ROH P2"
    ),
    "MDF",
    IF(
        AND(
            D3=2800,
            OR(E3=2070,E3=1000),
            OR(B3=18,B3=18.6,B3=8,B3=10,B3=16,B3=19),
            RIGHT(A3,6)&lt;&gt;"MDF 3D"
        ),
        "PAL",
        IF(
            AND(
                D3=2800,
                E3=2070,
                OR(B3=19,B3=19.3),
                OR(ISNUMBER(FIND(" TM",A3)),ISNUMBER(FIND("TM/ST",A3)))
            ),
            "PAL",
            IF(
                AND(
                    D3=2800,
                    E3=2070,
                    OR(B3=38,B3=38.6,B3=36,B3=37.2,B3=32,B3=26,B3=28),
                    OR(ISNUMBER(FIND(" TM",A3)),ISNUMBER(FIND("TM/ST",A3)))
                ),
                "DB PAL",
                IF(
                    AND(
                        D3=4100,
                        OR(E3=600,E3=650,E3=920,E3=1200),
                        OR(B3=38,B3=20)
                    ),
                    "BLAT",
                    IF(
                        AND(
                            D3=4100,
                            OR(E3=600,E3=650,E3=920),
                            OR(B3=12)
                        ),
                        "LC",
                        IF(
                            AND(
                                D3=4100,
                                E3=640,
                                OR(B3=9.2,B3=8,B3=8.8)
                            ),
                            "PS",
                            IF(
                                AND(
                                    OR(
                                        AND(D3=2800,E3=2070,OR(B3=38,B3=38.6)),
                                        AND(D3=2800,E3=1220,B3=36),
                                        AND(D3=3050,OR(E3=1300,E3=1310),OR(B3=38.6,B3=38,B3=38.1)),
                                        AND(D3=2800,E3=1300,B3=35),
                                        AND(D3=2800,E3=1300,B3=38),
                                        AND(RIGHT(A3,6)="MDF 3D",B3=36)
                                    ),
                                    NOT(OR(ISNUMBER(FIND(" TM",A3)),ISNUMBER(FIND("TM/ST",A3))))
                                ),
                                "DB MDF",
                                IF(
                                    AND(
                                        D3=2800,
                                        E3=2070,
                                        OR(B3=36,B3=37.2,B3=32,B3=26,B3=28),
                                        RIGHT(A3,6)&lt;&gt;"MDF 3D"
                                    ),
                                    "DB PAL",
                                    IF(B3=2.7,"HDF","N/A")
                                )
                            )
                        )
                    )
                )
            )
        )
    )
)</f>
        <v>N/A</v>
      </c>
      <c r="X3" t="str">
        <f t="shared" si="0"/>
        <v/>
      </c>
      <c r="Y3" t="str">
        <f t="shared" ref="Y3:Y34" si="3">IF(W3="","",
    IF(
        OR(
            ISNUMBER(FIND(" ST",X3)),
            ISNUMBER(FIND(" SM",X3)),
            ISNUMBER(FIND(" PM",X3)),
            ISNUMBER(FIND(" TM",X3)),
            ISNUMBER(FIND(" PG",X3)),
            ISNUMBER(FIND(" PA",X3))
        ),
        IF(OR(E3=600,E3=650,E3=920),
            SUBSTITUTE(X3," ","",1),
            IFERROR(LEFT(SUBSTITUTE(X3," ","",1), FIND("/",SUBSTITUTE(X3," ","",1))-1), SUBSTITUTE(X3," ","",1))
        ),
        IF(OR(E3=600,E3=650,E3=920),
            X3,
            IFERROR(LEFT(X3, FIND("/",X3)-1), X3)
        )
    )
    &amp;IF(W3="LC"," LC","")
)</f>
        <v/>
      </c>
      <c r="Z3" t="str">
        <f t="shared" ref="Z3:Z34" si="4">IF(
    OR(W3="DB PAL",W3="DB MDF"),
    IF(
        OR(
            ISNUMBER(FIND(" ST",X3)),
            ISNUMBER(FIND(" SM",X3)),
            ISNUMBER(FIND(" PM",X3)),
            ISNUMBER(FIND("TM/ST7",X3)),
            ISNUMBER(FIND(" PG",X3)),
            ISNUMBER(FIND(" PA",X3))
        ),
        IFERROR(LEFT(SUBSTITUTE(X3," ","",1), FIND("/",SUBSTITUTE(X3," ","",1))-1), SUBSTITUTE(X3," ","",1)),
        IFERROR(LEFT(X3, FIND("/",X3)-1), X3)
    ),
    " "
)</f>
        <v xml:space="preserve"> </v>
      </c>
      <c r="AA3" t="str">
        <f t="shared" ref="AA3:AA34" si="5">IF(OR(W3="DB PAL",W3="DB MDF"), IF(V3=INT(V3),"OK", "Vezi EK"),"")</f>
        <v/>
      </c>
    </row>
    <row r="4" spans="1:27">
      <c r="R4" s="131"/>
      <c r="S4" s="128"/>
      <c r="T4" s="115"/>
      <c r="U4" s="106"/>
      <c r="V4" s="133" t="str">
        <f t="shared" si="1"/>
        <v/>
      </c>
      <c r="W4" t="str">
        <f t="shared" si="2"/>
        <v>N/A</v>
      </c>
      <c r="X4" t="str">
        <f t="shared" si="0"/>
        <v/>
      </c>
      <c r="Y4" t="str">
        <f t="shared" si="3"/>
        <v/>
      </c>
      <c r="Z4" t="str">
        <f t="shared" si="4"/>
        <v xml:space="preserve"> </v>
      </c>
      <c r="AA4" t="str">
        <f t="shared" si="5"/>
        <v/>
      </c>
    </row>
    <row r="5" spans="1:27">
      <c r="R5" s="131"/>
      <c r="S5" s="128"/>
      <c r="T5" s="115"/>
      <c r="U5" s="106"/>
      <c r="V5" s="133" t="str">
        <f t="shared" si="1"/>
        <v/>
      </c>
      <c r="W5" t="str">
        <f t="shared" si="2"/>
        <v>N/A</v>
      </c>
      <c r="X5" t="str">
        <f>IFERROR(
IF(
ISNUMBER(SEARCH("2461LT",A5)),
"Rehau 2461LT",
IF(
ISNUMBER(SEARCH("3146L",A5)),
"Rehau 3146L",
IF(
ISNUMBER(SEARCH("1918L",A5)),
"Rehau 1918L",
IF(
ISNUMBER(--LEFT(SUBSTITUTE(TRIM(MID(A5,FIND("-",A5)+1,50)),"LR ","LR"),1)),
"AGT "&amp;SUBSTITUTE(TRIM(MID(A5,FIND("-",A5)+1,50)),"LR ","LR"),
SUBSTITUTE(TRIM(MID(A5,FIND("-",A5)+1,50)),"LR ","LR")
)
)
)
)
&amp;IF(OR(E5=600,E5=650,E5=920)," /"&amp;E5,"")
&amp;IF(E5=640," PS","")
&amp;IF(AND(OR(B5=8,B5=10,B5=16),D5=2800,E5=2070)," "&amp;B5&amp;"mm",""),
"")</f>
        <v/>
      </c>
      <c r="Y5" t="str">
        <f t="shared" si="3"/>
        <v/>
      </c>
      <c r="Z5" t="str">
        <f t="shared" si="4"/>
        <v xml:space="preserve"> </v>
      </c>
      <c r="AA5" t="str">
        <f t="shared" si="5"/>
        <v/>
      </c>
    </row>
    <row r="6" spans="1:27">
      <c r="R6" s="131"/>
      <c r="S6" s="128"/>
      <c r="T6" s="115"/>
      <c r="U6" s="106"/>
      <c r="V6" s="133" t="str">
        <f t="shared" si="1"/>
        <v/>
      </c>
      <c r="W6" t="str">
        <f t="shared" si="2"/>
        <v>N/A</v>
      </c>
      <c r="X6" t="str">
        <f t="shared" si="0"/>
        <v/>
      </c>
      <c r="Y6" t="str">
        <f t="shared" si="3"/>
        <v/>
      </c>
      <c r="Z6" t="str">
        <f t="shared" si="4"/>
        <v xml:space="preserve"> </v>
      </c>
      <c r="AA6" t="str">
        <f t="shared" si="5"/>
        <v/>
      </c>
    </row>
    <row r="7" spans="1:27">
      <c r="R7" s="131"/>
      <c r="S7" s="128"/>
      <c r="T7" s="106"/>
      <c r="U7" s="106"/>
      <c r="V7" s="133" t="str">
        <f t="shared" si="1"/>
        <v/>
      </c>
      <c r="W7" t="str">
        <f t="shared" si="2"/>
        <v>N/A</v>
      </c>
      <c r="X7" t="str">
        <f t="shared" si="0"/>
        <v/>
      </c>
      <c r="Y7" t="str">
        <f t="shared" si="3"/>
        <v/>
      </c>
      <c r="Z7" t="str">
        <f t="shared" si="4"/>
        <v xml:space="preserve"> </v>
      </c>
      <c r="AA7" t="str">
        <f t="shared" si="5"/>
        <v/>
      </c>
    </row>
    <row r="8" spans="1:27">
      <c r="R8" s="131"/>
      <c r="S8" s="128"/>
      <c r="T8" s="115"/>
      <c r="U8" s="106"/>
      <c r="V8" s="133" t="str">
        <f t="shared" si="1"/>
        <v/>
      </c>
      <c r="W8" t="str">
        <f t="shared" si="2"/>
        <v>N/A</v>
      </c>
      <c r="X8" t="str">
        <f t="shared" si="0"/>
        <v/>
      </c>
      <c r="Y8" t="str">
        <f t="shared" si="3"/>
        <v/>
      </c>
      <c r="Z8" t="str">
        <f t="shared" si="4"/>
        <v xml:space="preserve"> </v>
      </c>
      <c r="AA8" t="str">
        <f t="shared" si="5"/>
        <v/>
      </c>
    </row>
    <row r="9" spans="1:27">
      <c r="R9" s="131"/>
      <c r="S9" s="128"/>
      <c r="T9" s="115"/>
      <c r="U9" s="104"/>
      <c r="V9" s="133" t="str">
        <f t="shared" si="1"/>
        <v/>
      </c>
      <c r="W9" t="str">
        <f t="shared" si="2"/>
        <v>N/A</v>
      </c>
      <c r="X9" t="str">
        <f t="shared" si="0"/>
        <v/>
      </c>
      <c r="Y9" t="str">
        <f t="shared" si="3"/>
        <v/>
      </c>
      <c r="Z9" t="str">
        <f t="shared" si="4"/>
        <v xml:space="preserve"> </v>
      </c>
      <c r="AA9" t="str">
        <f t="shared" si="5"/>
        <v/>
      </c>
    </row>
    <row r="10" spans="1:27">
      <c r="R10" s="131"/>
      <c r="S10" s="128"/>
      <c r="T10" s="115"/>
      <c r="U10" s="115"/>
      <c r="V10" s="133" t="str">
        <f t="shared" si="1"/>
        <v/>
      </c>
      <c r="W10" t="str">
        <f t="shared" si="2"/>
        <v>N/A</v>
      </c>
      <c r="X10" t="str">
        <f t="shared" si="0"/>
        <v/>
      </c>
      <c r="Y10" t="str">
        <f t="shared" si="3"/>
        <v/>
      </c>
      <c r="Z10" t="str">
        <f t="shared" si="4"/>
        <v xml:space="preserve"> </v>
      </c>
      <c r="AA10" t="str">
        <f t="shared" si="5"/>
        <v/>
      </c>
    </row>
    <row r="11" spans="1:27">
      <c r="R11" s="131"/>
      <c r="S11" s="128"/>
      <c r="T11" s="115"/>
      <c r="U11" s="115"/>
      <c r="V11" s="133" t="str">
        <f t="shared" si="1"/>
        <v/>
      </c>
      <c r="W11" t="str">
        <f t="shared" si="2"/>
        <v>N/A</v>
      </c>
      <c r="X11" t="str">
        <f t="shared" si="0"/>
        <v/>
      </c>
      <c r="Y11" t="str">
        <f t="shared" si="3"/>
        <v/>
      </c>
      <c r="Z11" t="str">
        <f t="shared" si="4"/>
        <v xml:space="preserve"> </v>
      </c>
      <c r="AA11" t="str">
        <f t="shared" si="5"/>
        <v/>
      </c>
    </row>
    <row r="12" spans="1:27">
      <c r="R12" s="131"/>
      <c r="S12" s="107"/>
      <c r="T12" s="107"/>
      <c r="U12" s="107"/>
      <c r="V12" s="133" t="str">
        <f t="shared" si="1"/>
        <v/>
      </c>
      <c r="W12" t="str">
        <f t="shared" si="2"/>
        <v>N/A</v>
      </c>
      <c r="X12" t="str">
        <f t="shared" si="0"/>
        <v/>
      </c>
      <c r="Y12" t="str">
        <f t="shared" si="3"/>
        <v/>
      </c>
      <c r="Z12" t="str">
        <f t="shared" si="4"/>
        <v xml:space="preserve"> </v>
      </c>
      <c r="AA12" t="str">
        <f t="shared" si="5"/>
        <v/>
      </c>
    </row>
    <row r="13" spans="1:27">
      <c r="R13" s="131"/>
      <c r="S13" s="124"/>
      <c r="T13" s="123"/>
      <c r="U13" s="129"/>
      <c r="V13" s="133" t="str">
        <f t="shared" si="1"/>
        <v/>
      </c>
      <c r="W13" t="str">
        <f t="shared" si="2"/>
        <v>N/A</v>
      </c>
      <c r="X13" t="str">
        <f t="shared" si="0"/>
        <v/>
      </c>
      <c r="Y13" t="str">
        <f t="shared" si="3"/>
        <v/>
      </c>
      <c r="Z13" t="str">
        <f t="shared" si="4"/>
        <v xml:space="preserve"> </v>
      </c>
      <c r="AA13" t="str">
        <f t="shared" si="5"/>
        <v/>
      </c>
    </row>
    <row r="14" spans="1:27">
      <c r="R14" s="131"/>
      <c r="S14" s="123"/>
      <c r="T14" s="124"/>
      <c r="U14" s="129"/>
      <c r="V14" s="133" t="str">
        <f t="shared" si="1"/>
        <v/>
      </c>
      <c r="W14" t="str">
        <f t="shared" si="2"/>
        <v>N/A</v>
      </c>
      <c r="X14" t="str">
        <f t="shared" si="0"/>
        <v/>
      </c>
      <c r="Y14" t="str">
        <f t="shared" si="3"/>
        <v/>
      </c>
      <c r="Z14" t="str">
        <f t="shared" si="4"/>
        <v xml:space="preserve"> </v>
      </c>
      <c r="AA14" t="str">
        <f t="shared" si="5"/>
        <v/>
      </c>
    </row>
    <row r="15" spans="1:27">
      <c r="R15" s="131"/>
      <c r="S15" s="124"/>
      <c r="T15" s="124"/>
      <c r="U15" s="107"/>
      <c r="V15" s="133" t="str">
        <f t="shared" si="1"/>
        <v/>
      </c>
      <c r="W15" t="str">
        <f t="shared" si="2"/>
        <v>N/A</v>
      </c>
      <c r="X15" t="str">
        <f t="shared" si="0"/>
        <v/>
      </c>
      <c r="Y15" t="str">
        <f t="shared" si="3"/>
        <v/>
      </c>
      <c r="Z15" t="str">
        <f t="shared" si="4"/>
        <v xml:space="preserve"> </v>
      </c>
      <c r="AA15" t="str">
        <f t="shared" si="5"/>
        <v/>
      </c>
    </row>
    <row r="16" spans="1:27">
      <c r="R16" s="132"/>
      <c r="S16" s="124"/>
      <c r="T16" s="124"/>
      <c r="U16" s="106"/>
      <c r="V16" s="133" t="str">
        <f t="shared" si="1"/>
        <v/>
      </c>
      <c r="W16" t="str">
        <f t="shared" si="2"/>
        <v>N/A</v>
      </c>
      <c r="X16" t="str">
        <f t="shared" si="0"/>
        <v/>
      </c>
      <c r="Y16" t="str">
        <f t="shared" si="3"/>
        <v/>
      </c>
      <c r="Z16" t="str">
        <f t="shared" si="4"/>
        <v xml:space="preserve"> </v>
      </c>
      <c r="AA16" t="str">
        <f t="shared" si="5"/>
        <v/>
      </c>
    </row>
    <row r="17" spans="1:27">
      <c r="R17" s="132"/>
      <c r="S17" s="124"/>
      <c r="T17" s="124"/>
      <c r="U17" s="106"/>
      <c r="V17" s="133" t="str">
        <f t="shared" si="1"/>
        <v/>
      </c>
      <c r="W17" t="str">
        <f t="shared" si="2"/>
        <v>N/A</v>
      </c>
      <c r="X17" t="str">
        <f t="shared" si="0"/>
        <v/>
      </c>
      <c r="Y17" t="str">
        <f t="shared" si="3"/>
        <v/>
      </c>
      <c r="Z17" t="str">
        <f t="shared" si="4"/>
        <v xml:space="preserve"> </v>
      </c>
      <c r="AA17" t="str">
        <f t="shared" si="5"/>
        <v/>
      </c>
    </row>
    <row r="18" spans="1:27">
      <c r="A18" s="118"/>
      <c r="B18" s="119"/>
      <c r="C18" s="120"/>
      <c r="D18" s="121"/>
      <c r="E18" s="121"/>
      <c r="F18" s="122"/>
      <c r="G18" s="119"/>
      <c r="H18" s="123"/>
      <c r="I18" s="119"/>
      <c r="J18" s="124"/>
      <c r="K18" s="127"/>
      <c r="L18" s="127"/>
      <c r="M18" s="123"/>
      <c r="N18" s="127"/>
      <c r="O18" s="127"/>
      <c r="P18" s="123"/>
      <c r="Q18" s="127"/>
      <c r="R18" s="132"/>
      <c r="S18" s="124"/>
      <c r="T18" s="124"/>
      <c r="U18" s="106"/>
      <c r="V18" s="133" t="str">
        <f t="shared" si="1"/>
        <v/>
      </c>
      <c r="W18" t="str">
        <f t="shared" si="2"/>
        <v>N/A</v>
      </c>
      <c r="X18" t="str">
        <f t="shared" si="0"/>
        <v/>
      </c>
      <c r="Y18" t="str">
        <f t="shared" si="3"/>
        <v/>
      </c>
      <c r="Z18" t="str">
        <f t="shared" si="4"/>
        <v xml:space="preserve"> </v>
      </c>
      <c r="AA18" t="str">
        <f t="shared" si="5"/>
        <v/>
      </c>
    </row>
    <row r="19" spans="1:27">
      <c r="A19" s="118"/>
      <c r="B19" s="119"/>
      <c r="C19" s="120"/>
      <c r="D19" s="121"/>
      <c r="E19" s="121"/>
      <c r="F19" s="122"/>
      <c r="G19" s="119"/>
      <c r="H19" s="123"/>
      <c r="I19" s="119"/>
      <c r="J19" s="123"/>
      <c r="K19" s="127"/>
      <c r="L19" s="127"/>
      <c r="M19" s="125"/>
      <c r="N19" s="127"/>
      <c r="O19" s="127"/>
      <c r="P19" s="124"/>
      <c r="Q19" s="127"/>
      <c r="R19" s="132"/>
      <c r="S19" s="124"/>
      <c r="T19" s="124"/>
      <c r="V19" s="133" t="str">
        <f t="shared" si="1"/>
        <v/>
      </c>
      <c r="W19" t="str">
        <f t="shared" si="2"/>
        <v>N/A</v>
      </c>
      <c r="X19" t="str">
        <f t="shared" si="0"/>
        <v/>
      </c>
      <c r="Y19" t="str">
        <f t="shared" si="3"/>
        <v/>
      </c>
      <c r="Z19" t="str">
        <f t="shared" si="4"/>
        <v xml:space="preserve"> </v>
      </c>
      <c r="AA19" t="str">
        <f t="shared" si="5"/>
        <v/>
      </c>
    </row>
    <row r="20" spans="1:27">
      <c r="A20" s="118"/>
      <c r="B20" s="119"/>
      <c r="C20" s="120"/>
      <c r="D20" s="121"/>
      <c r="E20" s="121"/>
      <c r="F20" s="126"/>
      <c r="G20" s="119"/>
      <c r="H20" s="123"/>
      <c r="I20" s="119"/>
      <c r="J20" s="124"/>
      <c r="K20" s="127"/>
      <c r="L20" s="127"/>
      <c r="M20" s="125"/>
      <c r="N20" s="127"/>
      <c r="O20" s="127"/>
      <c r="P20" s="123"/>
      <c r="Q20" s="127"/>
      <c r="R20" s="132"/>
      <c r="S20" s="123"/>
      <c r="T20" s="119"/>
      <c r="V20" s="133" t="str">
        <f t="shared" si="1"/>
        <v/>
      </c>
      <c r="W20" t="str">
        <f t="shared" si="2"/>
        <v>N/A</v>
      </c>
      <c r="X20" t="str">
        <f t="shared" si="0"/>
        <v/>
      </c>
      <c r="Y20" t="str">
        <f t="shared" si="3"/>
        <v/>
      </c>
      <c r="Z20" t="str">
        <f t="shared" si="4"/>
        <v xml:space="preserve"> </v>
      </c>
      <c r="AA20" t="str">
        <f t="shared" si="5"/>
        <v/>
      </c>
    </row>
    <row r="21" spans="1:27">
      <c r="A21" s="118"/>
      <c r="B21" s="119"/>
      <c r="C21" s="120"/>
      <c r="D21" s="121"/>
      <c r="E21" s="121"/>
      <c r="F21" s="122"/>
      <c r="G21" s="119"/>
      <c r="H21" s="124"/>
      <c r="I21" s="119"/>
      <c r="J21" s="124"/>
      <c r="K21" s="127"/>
      <c r="L21" s="127"/>
      <c r="M21" s="124"/>
      <c r="N21" s="127"/>
      <c r="O21" s="127"/>
      <c r="P21" s="124"/>
      <c r="Q21" s="127"/>
      <c r="R21" s="132"/>
      <c r="S21" s="124"/>
      <c r="T21" s="123"/>
      <c r="V21" s="133" t="str">
        <f t="shared" si="1"/>
        <v/>
      </c>
      <c r="W21" t="str">
        <f t="shared" si="2"/>
        <v>N/A</v>
      </c>
      <c r="X21" t="str">
        <f t="shared" si="0"/>
        <v/>
      </c>
      <c r="Y21" t="str">
        <f t="shared" si="3"/>
        <v/>
      </c>
      <c r="Z21" t="str">
        <f t="shared" si="4"/>
        <v xml:space="preserve"> </v>
      </c>
      <c r="AA21" t="str">
        <f t="shared" si="5"/>
        <v/>
      </c>
    </row>
    <row r="22" spans="1:27">
      <c r="V22" s="133" t="str">
        <f t="shared" si="1"/>
        <v/>
      </c>
      <c r="W22" t="str">
        <f t="shared" si="2"/>
        <v>N/A</v>
      </c>
      <c r="X22" t="str">
        <f t="shared" si="0"/>
        <v/>
      </c>
      <c r="Y22" t="str">
        <f t="shared" si="3"/>
        <v/>
      </c>
      <c r="Z22" t="str">
        <f t="shared" si="4"/>
        <v xml:space="preserve"> </v>
      </c>
      <c r="AA22" t="str">
        <f t="shared" si="5"/>
        <v/>
      </c>
    </row>
    <row r="23" spans="1:27">
      <c r="V23" s="133" t="str">
        <f t="shared" si="1"/>
        <v/>
      </c>
      <c r="W23" t="str">
        <f t="shared" si="2"/>
        <v>N/A</v>
      </c>
      <c r="X23" t="str">
        <f t="shared" si="0"/>
        <v/>
      </c>
      <c r="Y23" t="str">
        <f t="shared" si="3"/>
        <v/>
      </c>
      <c r="Z23" t="str">
        <f t="shared" si="4"/>
        <v xml:space="preserve"> </v>
      </c>
      <c r="AA23" t="str">
        <f t="shared" si="5"/>
        <v/>
      </c>
    </row>
    <row r="24" spans="1:27">
      <c r="V24" s="133" t="str">
        <f t="shared" si="1"/>
        <v/>
      </c>
      <c r="W24" t="str">
        <f t="shared" si="2"/>
        <v>N/A</v>
      </c>
      <c r="X24" t="str">
        <f t="shared" si="0"/>
        <v/>
      </c>
      <c r="Y24" t="str">
        <f t="shared" si="3"/>
        <v/>
      </c>
      <c r="Z24" t="str">
        <f t="shared" si="4"/>
        <v xml:space="preserve"> </v>
      </c>
      <c r="AA24" t="str">
        <f t="shared" si="5"/>
        <v/>
      </c>
    </row>
    <row r="25" spans="1:27">
      <c r="V25" s="133" t="str">
        <f t="shared" si="1"/>
        <v/>
      </c>
      <c r="W25" t="str">
        <f t="shared" si="2"/>
        <v>N/A</v>
      </c>
      <c r="X25" t="str">
        <f t="shared" si="0"/>
        <v/>
      </c>
      <c r="Y25" t="str">
        <f t="shared" si="3"/>
        <v/>
      </c>
      <c r="Z25" t="str">
        <f t="shared" si="4"/>
        <v xml:space="preserve"> </v>
      </c>
      <c r="AA25" t="str">
        <f t="shared" si="5"/>
        <v/>
      </c>
    </row>
    <row r="26" spans="1:27">
      <c r="V26" s="133" t="str">
        <f t="shared" si="1"/>
        <v/>
      </c>
      <c r="W26" t="str">
        <f t="shared" si="2"/>
        <v>N/A</v>
      </c>
      <c r="X26" t="str">
        <f t="shared" si="0"/>
        <v/>
      </c>
      <c r="Y26" t="str">
        <f t="shared" si="3"/>
        <v/>
      </c>
      <c r="Z26" t="str">
        <f t="shared" si="4"/>
        <v xml:space="preserve"> </v>
      </c>
      <c r="AA26" t="str">
        <f t="shared" si="5"/>
        <v/>
      </c>
    </row>
    <row r="27" spans="1:27">
      <c r="V27" s="133" t="str">
        <f t="shared" si="1"/>
        <v/>
      </c>
      <c r="W27" t="str">
        <f t="shared" si="2"/>
        <v>N/A</v>
      </c>
      <c r="X27" t="str">
        <f t="shared" si="0"/>
        <v/>
      </c>
      <c r="Y27" t="str">
        <f t="shared" si="3"/>
        <v/>
      </c>
      <c r="Z27" t="str">
        <f t="shared" si="4"/>
        <v xml:space="preserve"> </v>
      </c>
      <c r="AA27" t="str">
        <f t="shared" si="5"/>
        <v/>
      </c>
    </row>
    <row r="28" spans="1:27">
      <c r="V28" s="133" t="str">
        <f t="shared" si="1"/>
        <v/>
      </c>
      <c r="W28" t="str">
        <f t="shared" si="2"/>
        <v>N/A</v>
      </c>
      <c r="X28" t="str">
        <f t="shared" si="0"/>
        <v/>
      </c>
      <c r="Y28" t="str">
        <f t="shared" si="3"/>
        <v/>
      </c>
      <c r="Z28" t="str">
        <f t="shared" si="4"/>
        <v xml:space="preserve"> </v>
      </c>
      <c r="AA28" t="str">
        <f t="shared" si="5"/>
        <v/>
      </c>
    </row>
    <row r="29" spans="1:27">
      <c r="V29" s="133" t="str">
        <f t="shared" si="1"/>
        <v/>
      </c>
      <c r="W29" t="str">
        <f t="shared" si="2"/>
        <v>N/A</v>
      </c>
      <c r="X29" t="str">
        <f t="shared" si="0"/>
        <v/>
      </c>
      <c r="Y29" t="str">
        <f t="shared" si="3"/>
        <v/>
      </c>
      <c r="Z29" t="str">
        <f t="shared" si="4"/>
        <v xml:space="preserve"> </v>
      </c>
      <c r="AA29" t="str">
        <f t="shared" si="5"/>
        <v/>
      </c>
    </row>
    <row r="30" spans="1:27">
      <c r="V30" s="133" t="str">
        <f t="shared" si="1"/>
        <v/>
      </c>
      <c r="W30" t="str">
        <f t="shared" si="2"/>
        <v>N/A</v>
      </c>
      <c r="X30" t="str">
        <f t="shared" si="0"/>
        <v/>
      </c>
      <c r="Y30" t="str">
        <f t="shared" si="3"/>
        <v/>
      </c>
      <c r="Z30" t="str">
        <f t="shared" si="4"/>
        <v xml:space="preserve"> </v>
      </c>
      <c r="AA30" t="str">
        <f t="shared" si="5"/>
        <v/>
      </c>
    </row>
    <row r="31" spans="1:27">
      <c r="V31" s="133" t="str">
        <f t="shared" si="1"/>
        <v/>
      </c>
      <c r="W31" t="str">
        <f t="shared" si="2"/>
        <v>N/A</v>
      </c>
      <c r="X31" t="str">
        <f t="shared" si="0"/>
        <v/>
      </c>
      <c r="Y31" t="str">
        <f t="shared" si="3"/>
        <v/>
      </c>
      <c r="Z31" t="str">
        <f t="shared" si="4"/>
        <v xml:space="preserve"> </v>
      </c>
      <c r="AA31" t="str">
        <f t="shared" si="5"/>
        <v/>
      </c>
    </row>
    <row r="32" spans="1:27">
      <c r="V32" s="133" t="str">
        <f t="shared" si="1"/>
        <v/>
      </c>
      <c r="W32" t="str">
        <f t="shared" si="2"/>
        <v>N/A</v>
      </c>
      <c r="X32" t="str">
        <f t="shared" si="0"/>
        <v/>
      </c>
      <c r="Y32" t="str">
        <f t="shared" si="3"/>
        <v/>
      </c>
      <c r="Z32" t="str">
        <f t="shared" si="4"/>
        <v xml:space="preserve"> </v>
      </c>
      <c r="AA32" t="str">
        <f t="shared" si="5"/>
        <v/>
      </c>
    </row>
    <row r="33" spans="22:27">
      <c r="V33" s="133" t="str">
        <f t="shared" si="1"/>
        <v/>
      </c>
      <c r="W33" t="str">
        <f t="shared" si="2"/>
        <v>N/A</v>
      </c>
      <c r="X33" t="str">
        <f t="shared" si="0"/>
        <v/>
      </c>
      <c r="Y33" t="str">
        <f t="shared" si="3"/>
        <v/>
      </c>
      <c r="Z33" t="str">
        <f t="shared" si="4"/>
        <v xml:space="preserve"> </v>
      </c>
      <c r="AA33" t="str">
        <f t="shared" si="5"/>
        <v/>
      </c>
    </row>
    <row r="34" spans="22:27">
      <c r="V34" s="133" t="str">
        <f t="shared" si="1"/>
        <v/>
      </c>
      <c r="W34" t="str">
        <f t="shared" si="2"/>
        <v>N/A</v>
      </c>
      <c r="X34" t="str">
        <f t="shared" si="0"/>
        <v/>
      </c>
      <c r="Y34" t="str">
        <f t="shared" si="3"/>
        <v/>
      </c>
      <c r="Z34" t="str">
        <f t="shared" si="4"/>
        <v xml:space="preserve"> </v>
      </c>
      <c r="AA34" t="str">
        <f t="shared" si="5"/>
        <v/>
      </c>
    </row>
  </sheetData>
  <phoneticPr fontId="10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83241-3F2E-4CB3-8480-680D029F6CAC}">
  <dimension ref="A1:M23"/>
  <sheetViews>
    <sheetView workbookViewId="0">
      <selection activeCell="L19" sqref="L19"/>
    </sheetView>
  </sheetViews>
  <sheetFormatPr defaultRowHeight="15"/>
  <cols>
    <col min="1" max="1" width="85.5703125" customWidth="1"/>
    <col min="12" max="12" width="15.140625" bestFit="1" customWidth="1"/>
    <col min="13" max="13" width="10.85546875" bestFit="1" customWidth="1"/>
  </cols>
  <sheetData>
    <row r="1" spans="1:13">
      <c r="A1" t="s">
        <v>67</v>
      </c>
      <c r="B1" t="s">
        <v>98</v>
      </c>
      <c r="C1" t="s">
        <v>99</v>
      </c>
      <c r="D1" t="s">
        <v>100</v>
      </c>
      <c r="E1" t="s">
        <v>101</v>
      </c>
      <c r="I1" t="s">
        <v>102</v>
      </c>
      <c r="J1" t="s">
        <v>103</v>
      </c>
      <c r="L1" t="s">
        <v>104</v>
      </c>
      <c r="M1" t="s">
        <v>105</v>
      </c>
    </row>
    <row r="2" spans="1:13">
      <c r="H2" t="str">
        <f>RIGHT(A2,3)</f>
        <v/>
      </c>
      <c r="I2">
        <f>ROUNDUP(E2*1.03,0)</f>
        <v>0</v>
      </c>
      <c r="J2" t="str">
        <f t="shared" ref="J2:J23" si="0">CONCATENATE(B2,"/",H2)</f>
        <v>/</v>
      </c>
      <c r="L2" t="str">
        <f t="shared" ref="L2:L23" si="1">IFERROR(
IF(
ISNUMBER(SEARCH("2461LT",A2)),
"Rehau 2461LT",
IF(
ISNUMBER(SEARCH("3146L",A2)),
"Rehau 3146L",
IF(
ISNUMBER(SEARCH("1918L",A2)),
"Rehau 1918L",
IF(
ISNUMBER(VALUE(MID(A2,FIND("-",A2)+1,1))),
"AGT "&amp;TRIM(MID(A2,FIND("-",A2)+1,FIND("@",SUBSTITUTE(A2,"-","@",LEN(A2)-LEN(SUBSTITUTE(A2,"-",""))))-FIND("-",A2)-1)),
TRIM(MID(A2,FIND("-",A2)+1,FIND("@",SUBSTITUTE(A2,"-","@",LEN(A2)-LEN(SUBSTITUTE(A2,"-",""))))-FIND("-",A2)-1))
)
)
)
),
"")</f>
        <v/>
      </c>
      <c r="M2" t="str">
        <f>IF(OR(ISNUMBER(FIND(" ST",L2)),ISNUMBER(FIND(" SM",L2)),ISNUMBER(FIND(" PM",L2)),ISNUMBER(FIND(" TM",L2)),ISNUMBER(FIND(" PG",L2)),ISNUMBER(FIND(" PA",L2))),SUBSTITUTE(L2," ","",1),L2)</f>
        <v/>
      </c>
    </row>
    <row r="3" spans="1:13">
      <c r="H3" t="str">
        <f t="shared" ref="H3:H23" si="2">RIGHT(A3,3)</f>
        <v/>
      </c>
      <c r="I3">
        <f t="shared" ref="I3:I23" si="3">ROUNDUP(E3*1.03,0)</f>
        <v>0</v>
      </c>
      <c r="J3" t="str">
        <f t="shared" si="0"/>
        <v>/</v>
      </c>
      <c r="L3" t="str">
        <f t="shared" si="1"/>
        <v/>
      </c>
      <c r="M3" t="str">
        <f t="shared" ref="M3:M23" si="4">IF(OR(ISNUMBER(FIND(" ST",L3)),ISNUMBER(FIND(" SM",L3)),ISNUMBER(FIND(" PM",L3)),ISNUMBER(FIND(" TM",L3)),ISNUMBER(FIND(" PG",L3)),ISNUMBER(FIND(" PA",L3))),SUBSTITUTE(L3," ","",1),L3)</f>
        <v/>
      </c>
    </row>
    <row r="4" spans="1:13">
      <c r="H4" t="str">
        <f t="shared" si="2"/>
        <v/>
      </c>
      <c r="I4">
        <f t="shared" si="3"/>
        <v>0</v>
      </c>
      <c r="J4" t="str">
        <f t="shared" si="0"/>
        <v>/</v>
      </c>
      <c r="L4" t="str">
        <f t="shared" si="1"/>
        <v/>
      </c>
      <c r="M4" t="str">
        <f t="shared" si="4"/>
        <v/>
      </c>
    </row>
    <row r="5" spans="1:13">
      <c r="H5" t="str">
        <f t="shared" si="2"/>
        <v/>
      </c>
      <c r="I5">
        <f t="shared" si="3"/>
        <v>0</v>
      </c>
      <c r="J5" t="str">
        <f t="shared" si="0"/>
        <v>/</v>
      </c>
      <c r="L5" t="str">
        <f>IFERROR(
IF(
ISNUMBER(SEARCH("2461LT",A5)),
"Rehau 2461LT",
IF(
ISNUMBER(SEARCH("3146L",A5)),
"Rehau 3146L",
IF(
ISNUMBER(SEARCH("1918L",A5)),
"Rehau 1918L",
IF(
ISNUMBER(VALUE(MID(A5,FIND("-",A5)+1,1))),
"AGT "&amp;TRIM(MID(A5,FIND("-",A5)+1,FIND("@",SUBSTITUTE(A5,"-","@",LEN(A5)-LEN(SUBSTITUTE(A5,"-",""))))-FIND("-",A5)-1)),
TRIM(MID(A5,FIND("-",A5)+1,FIND("@",SUBSTITUTE(A5,"-","@",LEN(A5)-LEN(SUBSTITUTE(A5,"-",""))))-FIND("-",A5)-1))
)
)
)
),
"")</f>
        <v/>
      </c>
      <c r="M5" t="str">
        <f t="shared" si="4"/>
        <v/>
      </c>
    </row>
    <row r="6" spans="1:13">
      <c r="H6" t="str">
        <f t="shared" si="2"/>
        <v/>
      </c>
      <c r="I6">
        <f t="shared" si="3"/>
        <v>0</v>
      </c>
      <c r="J6" t="str">
        <f t="shared" si="0"/>
        <v>/</v>
      </c>
      <c r="L6" t="str">
        <f t="shared" si="1"/>
        <v/>
      </c>
      <c r="M6" t="str">
        <f t="shared" si="4"/>
        <v/>
      </c>
    </row>
    <row r="7" spans="1:13">
      <c r="H7" t="str">
        <f t="shared" si="2"/>
        <v/>
      </c>
      <c r="I7">
        <f t="shared" si="3"/>
        <v>0</v>
      </c>
      <c r="J7" t="str">
        <f t="shared" si="0"/>
        <v>/</v>
      </c>
      <c r="L7" t="str">
        <f t="shared" si="1"/>
        <v/>
      </c>
      <c r="M7" t="str">
        <f t="shared" si="4"/>
        <v/>
      </c>
    </row>
    <row r="8" spans="1:13">
      <c r="H8" t="str">
        <f t="shared" si="2"/>
        <v/>
      </c>
      <c r="I8">
        <f t="shared" si="3"/>
        <v>0</v>
      </c>
      <c r="J8" t="str">
        <f t="shared" si="0"/>
        <v>/</v>
      </c>
      <c r="L8" t="str">
        <f t="shared" si="1"/>
        <v/>
      </c>
      <c r="M8" t="str">
        <f t="shared" si="4"/>
        <v/>
      </c>
    </row>
    <row r="9" spans="1:13">
      <c r="H9" t="str">
        <f t="shared" si="2"/>
        <v/>
      </c>
      <c r="I9">
        <f t="shared" si="3"/>
        <v>0</v>
      </c>
      <c r="J9" t="str">
        <f t="shared" si="0"/>
        <v>/</v>
      </c>
      <c r="L9" t="str">
        <f t="shared" si="1"/>
        <v/>
      </c>
      <c r="M9" t="str">
        <f t="shared" si="4"/>
        <v/>
      </c>
    </row>
    <row r="10" spans="1:13">
      <c r="H10" t="str">
        <f t="shared" si="2"/>
        <v/>
      </c>
      <c r="I10">
        <f t="shared" si="3"/>
        <v>0</v>
      </c>
      <c r="J10" t="str">
        <f t="shared" si="0"/>
        <v>/</v>
      </c>
      <c r="L10" t="str">
        <f t="shared" si="1"/>
        <v/>
      </c>
      <c r="M10" t="str">
        <f t="shared" si="4"/>
        <v/>
      </c>
    </row>
    <row r="11" spans="1:13">
      <c r="H11" t="str">
        <f t="shared" si="2"/>
        <v/>
      </c>
      <c r="I11">
        <f t="shared" si="3"/>
        <v>0</v>
      </c>
      <c r="J11" t="str">
        <f t="shared" si="0"/>
        <v>/</v>
      </c>
      <c r="L11" t="str">
        <f t="shared" si="1"/>
        <v/>
      </c>
      <c r="M11" t="str">
        <f t="shared" si="4"/>
        <v/>
      </c>
    </row>
    <row r="12" spans="1:13">
      <c r="A12" s="103"/>
      <c r="B12" s="104"/>
      <c r="C12" s="105"/>
      <c r="D12" s="105"/>
      <c r="E12" s="106"/>
      <c r="H12" t="str">
        <f t="shared" si="2"/>
        <v/>
      </c>
      <c r="I12">
        <f t="shared" si="3"/>
        <v>0</v>
      </c>
      <c r="J12" t="str">
        <f t="shared" si="0"/>
        <v>/</v>
      </c>
      <c r="L12" t="str">
        <f t="shared" si="1"/>
        <v/>
      </c>
      <c r="M12" t="str">
        <f t="shared" si="4"/>
        <v/>
      </c>
    </row>
    <row r="13" spans="1:13">
      <c r="A13" s="103"/>
      <c r="B13" s="104"/>
      <c r="C13" s="105"/>
      <c r="D13" s="105"/>
      <c r="E13" s="106"/>
      <c r="H13" t="str">
        <f t="shared" si="2"/>
        <v/>
      </c>
      <c r="I13">
        <f t="shared" si="3"/>
        <v>0</v>
      </c>
      <c r="J13" t="str">
        <f t="shared" si="0"/>
        <v>/</v>
      </c>
      <c r="L13" t="str">
        <f t="shared" si="1"/>
        <v/>
      </c>
      <c r="M13" t="str">
        <f t="shared" si="4"/>
        <v/>
      </c>
    </row>
    <row r="14" spans="1:13">
      <c r="A14" s="103"/>
      <c r="B14" s="104"/>
      <c r="C14" s="105"/>
      <c r="D14" s="105"/>
      <c r="E14" s="106"/>
      <c r="H14" t="str">
        <f t="shared" si="2"/>
        <v/>
      </c>
      <c r="I14">
        <f t="shared" si="3"/>
        <v>0</v>
      </c>
      <c r="J14" t="str">
        <f t="shared" si="0"/>
        <v>/</v>
      </c>
      <c r="L14" t="str">
        <f t="shared" si="1"/>
        <v/>
      </c>
      <c r="M14" t="str">
        <f t="shared" si="4"/>
        <v/>
      </c>
    </row>
    <row r="15" spans="1:13">
      <c r="A15" s="117"/>
      <c r="B15" s="116"/>
      <c r="C15" s="116"/>
      <c r="D15" s="116"/>
      <c r="E15" s="116"/>
      <c r="H15" t="str">
        <f t="shared" si="2"/>
        <v/>
      </c>
      <c r="I15">
        <f t="shared" si="3"/>
        <v>0</v>
      </c>
      <c r="J15" t="str">
        <f t="shared" si="0"/>
        <v>/</v>
      </c>
      <c r="L15" t="str">
        <f t="shared" si="1"/>
        <v/>
      </c>
      <c r="M15" t="str">
        <f t="shared" si="4"/>
        <v/>
      </c>
    </row>
    <row r="16" spans="1:13">
      <c r="H16" t="str">
        <f>RIGHT(A16,3)</f>
        <v/>
      </c>
      <c r="I16">
        <f t="shared" si="3"/>
        <v>0</v>
      </c>
      <c r="J16" t="str">
        <f t="shared" si="0"/>
        <v>/</v>
      </c>
      <c r="L16" t="str">
        <f t="shared" si="1"/>
        <v/>
      </c>
      <c r="M16" t="str">
        <f t="shared" si="4"/>
        <v/>
      </c>
    </row>
    <row r="17" spans="8:13">
      <c r="H17" t="str">
        <f t="shared" si="2"/>
        <v/>
      </c>
      <c r="I17">
        <f t="shared" si="3"/>
        <v>0</v>
      </c>
      <c r="J17" t="str">
        <f t="shared" si="0"/>
        <v>/</v>
      </c>
      <c r="L17" t="str">
        <f t="shared" si="1"/>
        <v/>
      </c>
      <c r="M17" t="str">
        <f t="shared" si="4"/>
        <v/>
      </c>
    </row>
    <row r="18" spans="8:13">
      <c r="H18" t="str">
        <f t="shared" si="2"/>
        <v/>
      </c>
      <c r="I18">
        <f t="shared" si="3"/>
        <v>0</v>
      </c>
      <c r="J18" t="str">
        <f t="shared" si="0"/>
        <v>/</v>
      </c>
      <c r="L18" t="str">
        <f t="shared" si="1"/>
        <v/>
      </c>
      <c r="M18" t="str">
        <f t="shared" si="4"/>
        <v/>
      </c>
    </row>
    <row r="19" spans="8:13">
      <c r="H19" t="str">
        <f t="shared" si="2"/>
        <v/>
      </c>
      <c r="I19">
        <f t="shared" si="3"/>
        <v>0</v>
      </c>
      <c r="J19" t="str">
        <f t="shared" si="0"/>
        <v>/</v>
      </c>
      <c r="L19" t="str">
        <f t="shared" si="1"/>
        <v/>
      </c>
      <c r="M19" t="str">
        <f t="shared" si="4"/>
        <v/>
      </c>
    </row>
    <row r="20" spans="8:13">
      <c r="H20" t="str">
        <f t="shared" si="2"/>
        <v/>
      </c>
      <c r="I20">
        <f t="shared" si="3"/>
        <v>0</v>
      </c>
      <c r="J20" t="str">
        <f t="shared" si="0"/>
        <v>/</v>
      </c>
      <c r="L20" t="str">
        <f t="shared" si="1"/>
        <v/>
      </c>
      <c r="M20" t="str">
        <f t="shared" si="4"/>
        <v/>
      </c>
    </row>
    <row r="21" spans="8:13">
      <c r="H21" t="str">
        <f t="shared" si="2"/>
        <v/>
      </c>
      <c r="I21">
        <f t="shared" si="3"/>
        <v>0</v>
      </c>
      <c r="J21" t="str">
        <f t="shared" si="0"/>
        <v>/</v>
      </c>
      <c r="L21" t="str">
        <f t="shared" si="1"/>
        <v/>
      </c>
      <c r="M21" t="str">
        <f t="shared" si="4"/>
        <v/>
      </c>
    </row>
    <row r="22" spans="8:13">
      <c r="H22" t="str">
        <f t="shared" si="2"/>
        <v/>
      </c>
      <c r="I22">
        <f t="shared" si="3"/>
        <v>0</v>
      </c>
      <c r="J22" t="str">
        <f t="shared" si="0"/>
        <v>/</v>
      </c>
      <c r="L22" t="str">
        <f t="shared" si="1"/>
        <v/>
      </c>
      <c r="M22" t="str">
        <f t="shared" si="4"/>
        <v/>
      </c>
    </row>
    <row r="23" spans="8:13">
      <c r="H23" t="str">
        <f t="shared" si="2"/>
        <v/>
      </c>
      <c r="I23">
        <f t="shared" si="3"/>
        <v>0</v>
      </c>
      <c r="J23" t="str">
        <f t="shared" si="0"/>
        <v>/</v>
      </c>
      <c r="L23" t="str">
        <f t="shared" si="1"/>
        <v/>
      </c>
      <c r="M23" t="str">
        <f t="shared" si="4"/>
        <v/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3F1B3-515F-4901-AFA8-22A8293C50FF}">
  <dimension ref="I2:I335"/>
  <sheetViews>
    <sheetView topLeftCell="A10" workbookViewId="0">
      <selection activeCell="J35" sqref="J35"/>
    </sheetView>
  </sheetViews>
  <sheetFormatPr defaultRowHeight="15"/>
  <cols>
    <col min="1" max="1" width="20.140625" bestFit="1" customWidth="1"/>
  </cols>
  <sheetData>
    <row r="2" spans="9:9">
      <c r="I2" t="str">
        <f>IF(ISNUMBER(SEARCH("CLMEL", A2)), "CLEAF", Deco!W2)</f>
        <v>N/A</v>
      </c>
    </row>
    <row r="3" spans="9:9">
      <c r="I3" t="str">
        <f>IF(ISNUMBER(SEARCH("CLMEL", A3)), "CLEAF", Deco!W3)</f>
        <v>N/A</v>
      </c>
    </row>
    <row r="4" spans="9:9">
      <c r="I4" t="str">
        <f>IF(ISNUMBER(SEARCH("CLMEL", A4)), "CLEAF", Deco!W4)</f>
        <v>N/A</v>
      </c>
    </row>
    <row r="5" spans="9:9">
      <c r="I5" t="str">
        <f>IF(ISNUMBER(SEARCH("CLMEL", A5)), "CLEAF", Deco!W5)</f>
        <v>N/A</v>
      </c>
    </row>
    <row r="6" spans="9:9">
      <c r="I6" t="str">
        <f>IF(ISNUMBER(SEARCH("CLMEL", A6)), "CLEAF", Deco!W6)</f>
        <v>N/A</v>
      </c>
    </row>
    <row r="7" spans="9:9">
      <c r="I7" t="str">
        <f>IF(ISNUMBER(SEARCH("CLMEL", A7)), "CLEAF", Deco!W7)</f>
        <v>N/A</v>
      </c>
    </row>
    <row r="8" spans="9:9">
      <c r="I8" t="str">
        <f>IF(ISNUMBER(SEARCH("CLMEL", A8)), "CLEAF", Deco!W8)</f>
        <v>N/A</v>
      </c>
    </row>
    <row r="9" spans="9:9">
      <c r="I9" t="str">
        <f>IF(ISNUMBER(SEARCH("CLMEL", A9)), "CLEAF", Deco!W9)</f>
        <v>N/A</v>
      </c>
    </row>
    <row r="10" spans="9:9">
      <c r="I10" t="str">
        <f>IF(ISNUMBER(SEARCH("CLMEL", A10)), "CLEAF", Deco!W10)</f>
        <v>N/A</v>
      </c>
    </row>
    <row r="11" spans="9:9">
      <c r="I11" t="str">
        <f>IF(ISNUMBER(SEARCH("CLMEL", A11)), "CLEAF", Deco!W11)</f>
        <v>N/A</v>
      </c>
    </row>
    <row r="12" spans="9:9">
      <c r="I12" t="str">
        <f>IF(ISNUMBER(SEARCH("CLMEL", A12)), "CLEAF", Deco!W12)</f>
        <v>N/A</v>
      </c>
    </row>
    <row r="13" spans="9:9">
      <c r="I13" t="str">
        <f>IF(ISNUMBER(SEARCH("CLMEL", A13)), "CLEAF", Deco!W13)</f>
        <v>N/A</v>
      </c>
    </row>
    <row r="14" spans="9:9">
      <c r="I14" t="str">
        <f>IF(ISNUMBER(SEARCH("CLMEL", A14)), "CLEAF", Deco!W14)</f>
        <v>N/A</v>
      </c>
    </row>
    <row r="15" spans="9:9">
      <c r="I15" t="str">
        <f>IF(ISNUMBER(SEARCH("CLMEL", A15)), "CLEAF", Deco!W15)</f>
        <v>N/A</v>
      </c>
    </row>
    <row r="16" spans="9:9">
      <c r="I16" t="str">
        <f>IF(ISNUMBER(SEARCH("CLMEL", A16)), "CLEAF", Deco!W16)</f>
        <v>N/A</v>
      </c>
    </row>
    <row r="17" spans="9:9">
      <c r="I17" t="str">
        <f>IF(ISNUMBER(SEARCH("CLMEL", A17)), "CLEAF", Deco!W17)</f>
        <v>N/A</v>
      </c>
    </row>
    <row r="18" spans="9:9">
      <c r="I18" t="str">
        <f>IF(ISNUMBER(SEARCH("CLMEL", A18)), "CLEAF", Deco!W18)</f>
        <v>N/A</v>
      </c>
    </row>
    <row r="19" spans="9:9">
      <c r="I19" t="str">
        <f>IF(ISNUMBER(SEARCH("CLMEL", A19)), "CLEAF", Deco!W19)</f>
        <v>N/A</v>
      </c>
    </row>
    <row r="20" spans="9:9">
      <c r="I20" t="str">
        <f>IF(ISNUMBER(SEARCH("CLMEL", A20)), "CLEAF", Deco!W20)</f>
        <v>N/A</v>
      </c>
    </row>
    <row r="21" spans="9:9">
      <c r="I21" t="str">
        <f>IF(ISNUMBER(SEARCH("CLMEL", A21)), "CLEAF", Deco!W21)</f>
        <v>N/A</v>
      </c>
    </row>
    <row r="22" spans="9:9">
      <c r="I22" t="str">
        <f>IF(ISNUMBER(SEARCH("CLMEL", A22)), "CLEAF", Deco!W22)</f>
        <v>N/A</v>
      </c>
    </row>
    <row r="23" spans="9:9">
      <c r="I23" t="str">
        <f>IF(ISNUMBER(SEARCH("CLMEL", A23)), "CLEAF", Deco!W23)</f>
        <v>N/A</v>
      </c>
    </row>
    <row r="24" spans="9:9">
      <c r="I24" t="str">
        <f>IF(ISNUMBER(SEARCH("CLMEL", A24)), "CLEAF", Deco!W24)</f>
        <v>N/A</v>
      </c>
    </row>
    <row r="25" spans="9:9">
      <c r="I25" t="str">
        <f>IF(ISNUMBER(SEARCH("CLMEL", A25)), "CLEAF", Deco!W25)</f>
        <v>N/A</v>
      </c>
    </row>
    <row r="26" spans="9:9">
      <c r="I26" t="str">
        <f>IF(ISNUMBER(SEARCH("CLMEL", A26)), "CLEAF", Deco!W26)</f>
        <v>N/A</v>
      </c>
    </row>
    <row r="27" spans="9:9">
      <c r="I27" t="str">
        <f>IF(ISNUMBER(SEARCH("CLMEL", A27)), "CLEAF", Deco!W27)</f>
        <v>N/A</v>
      </c>
    </row>
    <row r="28" spans="9:9">
      <c r="I28" t="str">
        <f>IF(ISNUMBER(SEARCH("CLMEL", A28)), "CLEAF", Deco!W28)</f>
        <v>N/A</v>
      </c>
    </row>
    <row r="335" spans="9:9">
      <c r="I335">
        <f>Deco!W335</f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0A89A-E89E-466F-87D6-BAD428C7D38A}">
  <dimension ref="A1:G6"/>
  <sheetViews>
    <sheetView workbookViewId="0">
      <selection activeCell="G4" sqref="G4"/>
    </sheetView>
  </sheetViews>
  <sheetFormatPr defaultRowHeight="15"/>
  <cols>
    <col min="1" max="1" width="27.7109375" customWidth="1"/>
    <col min="2" max="2" width="29.42578125" bestFit="1" customWidth="1"/>
    <col min="3" max="4" width="27.7109375" customWidth="1"/>
    <col min="5" max="5" width="36.85546875" bestFit="1" customWidth="1"/>
    <col min="6" max="6" width="27.7109375" customWidth="1"/>
  </cols>
  <sheetData>
    <row r="1" spans="1:7">
      <c r="A1" t="s">
        <v>39</v>
      </c>
      <c r="B1" t="s">
        <v>42</v>
      </c>
      <c r="C1" t="s">
        <v>56</v>
      </c>
      <c r="D1" t="s">
        <v>57</v>
      </c>
      <c r="E1" t="s">
        <v>46</v>
      </c>
      <c r="F1" t="s">
        <v>106</v>
      </c>
      <c r="G1" t="s">
        <v>111</v>
      </c>
    </row>
    <row r="2" spans="1:7">
      <c r="A2" t="s">
        <v>41</v>
      </c>
      <c r="B2" t="s">
        <v>55</v>
      </c>
      <c r="C2" t="s">
        <v>43</v>
      </c>
      <c r="D2" t="s">
        <v>58</v>
      </c>
      <c r="E2" t="s">
        <v>44</v>
      </c>
      <c r="F2" t="s">
        <v>109</v>
      </c>
      <c r="G2" t="s">
        <v>112</v>
      </c>
    </row>
    <row r="3" spans="1:7">
      <c r="A3" t="s">
        <v>37</v>
      </c>
      <c r="E3" t="s">
        <v>45</v>
      </c>
      <c r="F3" t="s">
        <v>110</v>
      </c>
      <c r="G3" t="s">
        <v>113</v>
      </c>
    </row>
    <row r="4" spans="1:7">
      <c r="A4" t="s">
        <v>40</v>
      </c>
    </row>
    <row r="5" spans="1:7">
      <c r="A5" t="s">
        <v>38</v>
      </c>
    </row>
    <row r="6" spans="1:7">
      <c r="A6" t="s">
        <v>97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AC56A97-D96C-4D22-974C-41577EE5525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Fisa</vt:lpstr>
      <vt:lpstr>Proforma</vt:lpstr>
      <vt:lpstr>Materiale</vt:lpstr>
      <vt:lpstr>Deco</vt:lpstr>
      <vt:lpstr>Cant</vt:lpstr>
      <vt:lpstr>Taiere</vt:lpstr>
      <vt:lpstr>Parametri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Ciprian Mogos</dc:creator>
  <cp:lastModifiedBy>Liviu Spridon</cp:lastModifiedBy>
  <cp:lastPrinted>2026-09-24T11:15:45Z</cp:lastPrinted>
  <dcterms:created xsi:type="dcterms:W3CDTF">2018-08-21T07:33:50Z</dcterms:created>
  <dcterms:modified xsi:type="dcterms:W3CDTF">2026-09-29T10:26:56Z</dcterms:modified>
</cp:coreProperties>
</file>