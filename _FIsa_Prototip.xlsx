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CEC93B6B-0B09-4852-872A-75AF1B45D75A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4" i="6" l="1"/>
  <c r="G38" i="6"/>
  <c r="I11" i="6"/>
  <c r="I12" i="6"/>
  <c r="I13" i="6"/>
  <c r="I14" i="6"/>
  <c r="I15" i="6"/>
  <c r="I16" i="6"/>
  <c r="I17" i="6"/>
  <c r="I18" i="6"/>
  <c r="I19" i="6"/>
  <c r="I20" i="6"/>
  <c r="I21" i="6"/>
  <c r="I22" i="6"/>
  <c r="G37" i="6"/>
  <c r="G36" i="6"/>
  <c r="G34" i="6"/>
  <c r="G33" i="6"/>
  <c r="G32" i="6"/>
  <c r="G28" i="6"/>
  <c r="G27" i="6"/>
  <c r="G26" i="6"/>
  <c r="G25" i="6"/>
  <c r="G24" i="6"/>
  <c r="G22" i="6"/>
  <c r="G21" i="6"/>
  <c r="G20" i="6"/>
  <c r="G19" i="6"/>
  <c r="G18" i="6"/>
  <c r="G17" i="6"/>
  <c r="G16" i="6"/>
  <c r="G15" i="6"/>
  <c r="G14" i="6"/>
  <c r="G13" i="6"/>
  <c r="G12" i="6"/>
  <c r="G11" i="6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AA2" i="9" s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V2" i="9" l="1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2" i="6"/>
  <c r="C41" i="6"/>
  <c r="S42" i="6"/>
  <c r="F43" i="6"/>
  <c r="I20" i="19"/>
  <c r="I19" i="19"/>
  <c r="I17" i="19"/>
  <c r="I15" i="19"/>
  <c r="B11" i="6"/>
  <c r="I23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F37" i="6" s="1"/>
  <c r="B22" i="6" a="1"/>
  <c r="B22" i="6" s="1"/>
  <c r="B27" i="6" a="1"/>
  <c r="B27" i="6" s="1"/>
  <c r="A17" i="7" s="1"/>
  <c r="B38" i="6" a="1"/>
  <c r="B38" i="6" s="1"/>
  <c r="F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A15" i="7" s="1"/>
  <c r="B36" i="6" a="1"/>
  <c r="B36" i="6" s="1"/>
  <c r="F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C38" i="6"/>
  <c r="F32" i="6"/>
  <c r="C32" i="6"/>
  <c r="C34" i="6"/>
  <c r="F34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47" i="6" l="1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L21" i="6" l="1"/>
  <c r="M21" i="6" s="1"/>
  <c r="J21" i="6"/>
  <c r="K21" i="6" s="1"/>
  <c r="R21" i="6"/>
  <c r="S21" i="6" s="1"/>
  <c r="H21" i="6"/>
  <c r="P21" i="6"/>
  <c r="Q21" i="6" s="1"/>
  <c r="N21" i="6"/>
  <c r="O21" i="6" s="1"/>
  <c r="J20" i="6"/>
  <c r="K20" i="6" s="1"/>
  <c r="P20" i="6"/>
  <c r="Q20" i="6" s="1"/>
  <c r="H20" i="6"/>
  <c r="N20" i="6"/>
  <c r="O20" i="6" s="1"/>
  <c r="R20" i="6"/>
  <c r="S20" i="6" s="1"/>
  <c r="P19" i="6"/>
  <c r="Q19" i="6" s="1"/>
  <c r="J19" i="6"/>
  <c r="K19" i="6" s="1"/>
  <c r="N19" i="6"/>
  <c r="O19" i="6" s="1"/>
  <c r="H19" i="6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L18" i="6"/>
  <c r="M18" i="6" s="1"/>
  <c r="P17" i="6"/>
  <c r="Q17" i="6" s="1"/>
  <c r="L17" i="6"/>
  <c r="M17" i="6" s="1"/>
  <c r="H17" i="6"/>
  <c r="N17" i="6"/>
  <c r="O17" i="6" s="1"/>
  <c r="J17" i="6"/>
  <c r="K17" i="6" s="1"/>
  <c r="R17" i="6"/>
  <c r="S17" i="6" s="1"/>
  <c r="H16" i="6"/>
  <c r="N16" i="6"/>
  <c r="O16" i="6" s="1"/>
  <c r="P16" i="6"/>
  <c r="Q16" i="6" s="1"/>
  <c r="J16" i="6"/>
  <c r="K16" i="6" s="1"/>
  <c r="L16" i="6"/>
  <c r="M16" i="6" s="1"/>
  <c r="R16" i="6"/>
  <c r="S16" i="6" s="1"/>
  <c r="L15" i="6"/>
  <c r="M15" i="6" s="1"/>
  <c r="N15" i="6"/>
  <c r="O15" i="6" s="1"/>
  <c r="H15" i="6"/>
  <c r="R15" i="6"/>
  <c r="S15" i="6" s="1"/>
  <c r="P15" i="6"/>
  <c r="Q15" i="6" s="1"/>
  <c r="J15" i="6"/>
  <c r="K15" i="6" s="1"/>
  <c r="P14" i="6"/>
  <c r="Q14" i="6" s="1"/>
  <c r="N14" i="6"/>
  <c r="O14" i="6" s="1"/>
  <c r="H14" i="6"/>
  <c r="R14" i="6"/>
  <c r="S14" i="6" s="1"/>
  <c r="J14" i="6"/>
  <c r="K14" i="6" s="1"/>
  <c r="L14" i="6"/>
  <c r="M14" i="6" s="1"/>
  <c r="P13" i="6"/>
  <c r="Q13" i="6" s="1"/>
  <c r="J13" i="6"/>
  <c r="K13" i="6" s="1"/>
  <c r="R13" i="6"/>
  <c r="S13" i="6" s="1"/>
  <c r="H13" i="6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H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<sst xmlns="http://schemas.openxmlformats.org/spreadsheetml/2006/main" count="205" uniqueCount="118">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</sst>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4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4" borderId="54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2" fillId="4" borderId="56" xfId="0" applyFont="1" applyFill="1" applyBorder="1" applyAlignment="1">
      <alignment horizontal="center"/>
    </xf>
    <xf numFmtId="0" fontId="2" fillId="8" borderId="27" xfId="0" applyFont="1" applyFill="1" applyBorder="1" applyAlignment="1">
      <alignment horizontal="center"/>
    </xf>
    <xf numFmtId="0" fontId="2" fillId="8" borderId="57" xfId="0" applyFont="1" applyFill="1" applyBorder="1" applyAlignment="1">
      <alignment horizontal="center"/>
    </xf>
    <xf numFmtId="0" fontId="2" fillId="8" borderId="36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zoomScaleNormal="100" workbookViewId="0">
      <selection activeCell="L20" sqref="L20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2" t="s">
        <v>37</v>
      </c>
      <c r="B1" s="233"/>
      <c r="C1" s="233"/>
      <c r="D1" s="233"/>
      <c r="E1" s="233"/>
      <c r="F1" s="233"/>
      <c r="G1" s="233"/>
      <c r="H1" s="233"/>
      <c r="I1" s="233"/>
      <c r="J1" s="233"/>
      <c r="K1" s="233"/>
      <c r="L1" s="234"/>
      <c r="M1" s="38" t="s">
        <v>71</v>
      </c>
      <c r="N1" s="39" t="s">
        <v>65</v>
      </c>
      <c r="O1" s="223" t="s">
        <v>70</v>
      </c>
      <c r="P1" s="224"/>
      <c r="Q1" s="224"/>
      <c r="R1" s="224"/>
      <c r="S1" s="225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6"/>
      <c r="P2" s="227"/>
      <c r="Q2" s="227"/>
      <c r="R2" s="227"/>
      <c r="S2" s="228"/>
    </row>
    <row r="3" spans="1:19">
      <c r="A3" s="20" t="s">
        <v>50</v>
      </c>
      <c r="B3" s="238"/>
      <c r="C3" s="239"/>
      <c r="D3" s="240"/>
      <c r="H3" s="20" t="s">
        <v>60</v>
      </c>
      <c r="I3" s="245"/>
      <c r="J3" s="246"/>
      <c r="K3" s="247"/>
      <c r="M3" s="27">
        <v>2</v>
      </c>
      <c r="N3" s="76"/>
      <c r="O3" s="235"/>
      <c r="P3" s="236"/>
      <c r="Q3" s="236"/>
      <c r="R3" s="236"/>
      <c r="S3" s="237"/>
    </row>
    <row r="4" spans="1:19">
      <c r="A4" s="21" t="s">
        <v>48</v>
      </c>
      <c r="B4" s="217"/>
      <c r="C4" s="218"/>
      <c r="D4" s="219"/>
      <c r="H4" s="21" t="s">
        <v>61</v>
      </c>
      <c r="I4" s="220"/>
      <c r="J4" s="221"/>
      <c r="K4" s="222"/>
      <c r="M4" s="27">
        <v>3</v>
      </c>
      <c r="N4" s="76"/>
      <c r="O4" s="235"/>
      <c r="P4" s="236"/>
      <c r="Q4" s="236"/>
      <c r="R4" s="236"/>
      <c r="S4" s="237"/>
    </row>
    <row r="5" spans="1:19">
      <c r="A5" s="21" t="s">
        <v>49</v>
      </c>
      <c r="B5" s="241"/>
      <c r="C5" s="242"/>
      <c r="D5" s="243"/>
      <c r="H5" s="21" t="s">
        <v>62</v>
      </c>
      <c r="I5" s="244"/>
      <c r="J5" s="236"/>
      <c r="K5" s="237"/>
      <c r="M5" s="27">
        <v>4</v>
      </c>
      <c r="N5" s="76"/>
      <c r="O5" s="235"/>
      <c r="P5" s="236"/>
      <c r="Q5" s="236"/>
      <c r="R5" s="236"/>
      <c r="S5" s="237"/>
    </row>
    <row r="6" spans="1:19" ht="15.75" thickBot="1">
      <c r="A6" s="22" t="s">
        <v>7</v>
      </c>
      <c r="B6" s="252"/>
      <c r="C6" s="253"/>
      <c r="D6" s="254"/>
      <c r="H6" s="22" t="s">
        <v>63</v>
      </c>
      <c r="I6" s="255"/>
      <c r="J6" s="230"/>
      <c r="K6" s="231"/>
      <c r="M6" s="28">
        <v>5</v>
      </c>
      <c r="N6" s="77"/>
      <c r="O6" s="229"/>
      <c r="P6" s="230"/>
      <c r="Q6" s="230"/>
      <c r="R6" s="230"/>
      <c r="S6" s="231"/>
    </row>
    <row r="7" spans="1:19" s="51" customFormat="1" ht="2.1" hidden="1" customHeight="1" thickBot="1"/>
    <row r="8" spans="1:19" ht="15.75" customHeight="1" thickBot="1">
      <c r="A8" s="256" t="s">
        <v>1</v>
      </c>
      <c r="B8" s="257"/>
      <c r="C8" s="257"/>
      <c r="D8" s="258"/>
      <c r="F8" s="262" t="s">
        <v>74</v>
      </c>
      <c r="G8" s="263"/>
      <c r="H8" s="263"/>
      <c r="I8" s="263"/>
      <c r="J8" s="263"/>
      <c r="K8" s="263"/>
      <c r="L8" s="263"/>
      <c r="M8" s="263"/>
      <c r="N8" s="263"/>
      <c r="O8" s="263"/>
      <c r="P8" s="263"/>
      <c r="Q8" s="263"/>
      <c r="R8" s="263"/>
      <c r="S8" s="268"/>
    </row>
    <row r="9" spans="1:19" ht="15.75" thickBot="1">
      <c r="A9" s="259"/>
      <c r="B9" s="260"/>
      <c r="C9" s="260"/>
      <c r="D9" s="261"/>
      <c r="F9" s="199" t="s">
        <v>28</v>
      </c>
      <c r="G9" s="200"/>
      <c r="H9" s="215" t="s">
        <v>29</v>
      </c>
      <c r="I9" s="216"/>
      <c r="J9" s="197" t="s">
        <v>16</v>
      </c>
      <c r="K9" s="198"/>
      <c r="L9" s="269" t="s">
        <v>19</v>
      </c>
      <c r="M9" s="270"/>
      <c r="N9" s="266" t="s">
        <v>82</v>
      </c>
      <c r="O9" s="267"/>
      <c r="P9" s="264" t="s">
        <v>69</v>
      </c>
      <c r="Q9" s="265"/>
      <c r="R9" s="266" t="s">
        <v>18</v>
      </c>
      <c r="S9" s="267"/>
    </row>
    <row r="10" spans="1:19" ht="15.75" thickBot="1">
      <c r="A10" s="20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05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05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05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05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05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05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05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05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05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05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05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06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04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187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184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57" t="str">
        <f>CONCATENATE(F24)</f>
        <v/>
      </c>
      <c r="Q24" s="17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05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88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185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1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1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05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88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185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1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1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05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88" t="str">
        <f t="shared" si="8"/>
        <v/>
      </c>
      <c r="G27" s="86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185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1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1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07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89" t="str">
        <f t="shared" si="8"/>
        <v/>
      </c>
      <c r="G28" s="141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186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194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97" t="str">
        <f>CONCATENATE(F32)</f>
        <v/>
      </c>
      <c r="I32" s="172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95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98" t="str">
        <f>CONCATENATE(F33)</f>
        <v/>
      </c>
      <c r="I33" s="173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1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1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96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190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194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IF(B36&lt;&gt;"",TRIM(RIGHT(B36,LEN(B36)-3)),"")</f>
        <v/>
      </c>
      <c r="G36" s="90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97" t="str">
        <f>CONCATENATE(F36)</f>
        <v/>
      </c>
      <c r="I36" s="172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95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IF(B37&lt;&gt;"",TRIM(RIGHT(B37,LEN(B37)-3)),"")</f>
        <v/>
      </c>
      <c r="G37" s="190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105" t="str">
        <f>CONCATENATE(F37)</f>
        <v/>
      </c>
      <c r="I37" s="173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1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1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96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IF(B38&lt;&gt;"",TRIM(RIGHT(B38,LEN(B38)-3)),"")</f>
        <v/>
      </c>
      <c r="G38" s="14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04" t="s">
        <v>51</v>
      </c>
      <c r="B40" s="32" t="s">
        <v>68</v>
      </c>
      <c r="C40" s="32" t="s">
        <v>72</v>
      </c>
      <c r="D40" s="18" t="s">
        <v>52</v>
      </c>
      <c r="F40" s="201" t="s">
        <v>73</v>
      </c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3"/>
    </row>
    <row r="41" spans="1:19" ht="15.75" thickBot="1">
      <c r="A41" s="205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05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208">
        <f>IF(COUNTIF(Deco!AA2:AA34,"Vezi EK")&gt;0,0,1)</f>
        <v>1</v>
      </c>
    </row>
    <row r="43" spans="1:19" ht="15.75" thickBot="1">
      <c r="A43" s="205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62" t="str">
        <f>IF(COUNTIF(Deco!AA2:AA34,"Vezi EK")&gt;0,"Atentie! Verifica EK dublaje","Nr. Piese Dublaje")</f>
        <v>Nr. Piese Dublaje</v>
      </c>
      <c r="G43" s="263"/>
      <c r="H43" s="263"/>
      <c r="I43" s="263"/>
      <c r="J43" s="263"/>
      <c r="K43" s="263"/>
      <c r="L43" s="263"/>
      <c r="M43" s="263"/>
      <c r="N43" s="263"/>
      <c r="O43" s="263"/>
      <c r="P43" s="263"/>
      <c r="Q43" s="263"/>
      <c r="R43" s="263"/>
      <c r="S43" s="209"/>
    </row>
    <row r="44" spans="1:19">
      <c r="A44" s="205"/>
      <c r="B44" s="50" t="s">
        <v>89</v>
      </c>
      <c r="C44" s="30" t="str">
        <f>IF(SUMIF(B32:B34, "*/920", C32:C34)=0, "",SUMIF(B32:B34, "*/920", C32:C34))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05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0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05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208" t="s">
        <v>34</v>
      </c>
      <c r="G47" s="250" t="str">
        <f>IF(I6="PLAN M",SUM(C11:C28), "N/A")</f>
        <v>N/A</v>
      </c>
      <c r="J47" s="208" t="s">
        <v>88</v>
      </c>
      <c r="K47" s="248">
        <v>1</v>
      </c>
      <c r="N47" s="208" t="s">
        <v>110</v>
      </c>
      <c r="O47" s="211"/>
      <c r="P47" s="212"/>
      <c r="R47" s="208" t="s">
        <v>116</v>
      </c>
      <c r="S47" s="208"/>
    </row>
    <row r="48" spans="1:19" ht="15.75" thickBot="1">
      <c r="A48" s="207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210"/>
      <c r="G48" s="251"/>
      <c r="J48" s="210"/>
      <c r="K48" s="249"/>
      <c r="N48" s="209"/>
      <c r="O48" s="213"/>
      <c r="P48" s="214"/>
      <c r="R48" s="209"/>
      <c r="S48" s="210"/>
    </row>
    <row r="49" spans="1:19" ht="2.1" hidden="1" customHeight="1">
      <c r="A49" s="40"/>
      <c r="B49" s="41"/>
      <c r="C49" s="1"/>
      <c r="D49" s="2"/>
    </row>
    <row r="50" spans="1:19">
      <c r="A50" s="191" t="s">
        <v>66</v>
      </c>
      <c r="B50" s="174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6"/>
    </row>
    <row r="51" spans="1:19">
      <c r="A51" s="192"/>
      <c r="B51" s="177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8"/>
    </row>
    <row r="52" spans="1:19">
      <c r="A52" s="192"/>
      <c r="B52" s="177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8"/>
    </row>
    <row r="53" spans="1:19">
      <c r="A53" s="192"/>
      <c r="B53" s="177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8"/>
    </row>
    <row r="54" spans="1:19">
      <c r="A54" s="192"/>
      <c r="B54" s="177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8"/>
    </row>
    <row r="55" spans="1:19">
      <c r="A55" s="192"/>
      <c r="B55" s="177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8"/>
    </row>
    <row r="56" spans="1:19">
      <c r="A56" s="192"/>
      <c r="B56" s="177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8"/>
    </row>
    <row r="57" spans="1:19">
      <c r="A57" s="192"/>
      <c r="B57" s="177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8"/>
    </row>
    <row r="58" spans="1:19">
      <c r="A58" s="192"/>
      <c r="B58" s="180"/>
      <c r="S58" s="181"/>
    </row>
    <row r="59" spans="1:19">
      <c r="A59" s="192"/>
      <c r="B59" s="180"/>
      <c r="S59" s="181"/>
    </row>
    <row r="60" spans="1:19">
      <c r="A60" s="192"/>
      <c r="B60" s="180"/>
      <c r="S60" s="181"/>
    </row>
    <row r="61" spans="1:19">
      <c r="A61" s="192"/>
      <c r="B61" s="180"/>
      <c r="S61" s="181"/>
    </row>
    <row r="62" spans="1:19">
      <c r="A62" s="192"/>
      <c r="B62" s="180"/>
      <c r="S62" s="181"/>
    </row>
    <row r="63" spans="1:19">
      <c r="A63" s="192"/>
      <c r="B63" s="180"/>
      <c r="S63" s="181"/>
    </row>
    <row r="64" spans="1:19">
      <c r="A64" s="192"/>
      <c r="B64" s="180"/>
      <c r="S64" s="181"/>
    </row>
    <row r="65" spans="1:19">
      <c r="A65" s="192"/>
      <c r="B65" s="180"/>
      <c r="S65" s="181"/>
    </row>
    <row r="66" spans="1:19">
      <c r="A66" s="192"/>
      <c r="B66" s="180"/>
      <c r="S66" s="181"/>
    </row>
    <row r="67" spans="1:19">
      <c r="A67" s="192"/>
      <c r="B67" s="180"/>
      <c r="S67" s="181"/>
    </row>
    <row r="68" spans="1:19" ht="15.75" thickBot="1">
      <c r="A68" s="193"/>
      <c r="B68" s="182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3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A19" sqref="A19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92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93</v>
      </c>
      <c r="B199">
        <f>Fisa!O41</f>
        <v>0</v>
      </c>
      <c r="D199" t="str">
        <f t="shared" si="7"/>
        <v>Cant 43/1</v>
      </c>
    </row>
    <row r="200" spans="1:4">
      <c r="A200" t="s">
        <v>75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71" t="s">
        <v>14</v>
      </c>
      <c r="B1" s="271"/>
      <c r="C1" s="271"/>
      <c r="D1" s="271"/>
      <c r="E1" s="271"/>
      <c r="F1" s="271"/>
      <c r="G1" s="271"/>
      <c r="H1" s="271"/>
      <c r="I1" s="271"/>
      <c r="J1" s="271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72">
        <f>Fisa!B3:D3</f>
        <v>0</v>
      </c>
      <c r="C3" s="272"/>
      <c r="D3" s="272"/>
      <c r="E3" s="272"/>
      <c r="F3" s="272"/>
      <c r="G3" s="272"/>
      <c r="H3" s="5"/>
      <c r="I3" s="5"/>
      <c r="J3" s="5"/>
      <c r="K3" s="5"/>
      <c r="L3" s="5"/>
    </row>
    <row r="4" spans="1:12" customFormat="1">
      <c r="A4" s="6" t="s">
        <v>7</v>
      </c>
      <c r="B4" s="273">
        <f>Fisa!B6</f>
        <v>0</v>
      </c>
      <c r="C4" s="273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B1" zoomScaleNormal="100" workbookViewId="0">
      <selection activeCell="K14" sqref="K14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0">IFERROR(IF(OR(W3="DB PAL",W3="DB MDF"),ROUND(Q3/13.5,0), ROUND(Q3/P3,2)),"")</f>
        <v/>
      </c>
      <c r="W3" t="str">
        <f t="shared" ref="W3:W34" si="1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K24" sqref="K24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2026-07-21T10:41:14Z</dcterms:modified>
</cp:coreProperties>
</file>