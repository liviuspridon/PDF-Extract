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729C0399-119A-46F6-8779-9CA8349BF9AC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6" l="1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B12" i="6" s="1" a="1"/>
  <c r="B12" i="6" s="1"/>
  <c r="F23" i="6" l="1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9" i="9"/>
  <c r="AA7" i="9"/>
  <c r="V34" i="9"/>
  <c r="AA34" i="9" s="1"/>
  <c r="V33" i="9"/>
  <c r="AA33" i="9" s="1"/>
  <c r="V32" i="9"/>
  <c r="AA32" i="9" s="1"/>
  <c r="V31" i="9"/>
  <c r="AA31" i="9" s="1"/>
  <c r="V30" i="9"/>
  <c r="AA30" i="9" s="1"/>
  <c r="V29" i="9"/>
  <c r="AA29" i="9" s="1"/>
  <c r="V28" i="9"/>
  <c r="AA28" i="9" s="1"/>
  <c r="V27" i="9"/>
  <c r="AA27" i="9" s="1"/>
  <c r="V26" i="9"/>
  <c r="AA26" i="9" s="1"/>
  <c r="V25" i="9"/>
  <c r="AA25" i="9" s="1"/>
  <c r="V24" i="9"/>
  <c r="AA24" i="9" s="1"/>
  <c r="V23" i="9"/>
  <c r="AA23" i="9" s="1"/>
  <c r="V22" i="9"/>
  <c r="AA22" i="9" s="1"/>
  <c r="V21" i="9"/>
  <c r="AA21" i="9" s="1"/>
  <c r="V20" i="9"/>
  <c r="AA20" i="9" s="1"/>
  <c r="V19" i="9"/>
  <c r="AA19" i="9" s="1"/>
  <c r="V18" i="9"/>
  <c r="AA18" i="9" s="1"/>
  <c r="V17" i="9"/>
  <c r="AA17" i="9" s="1"/>
  <c r="V16" i="9"/>
  <c r="AA16" i="9" s="1"/>
  <c r="V15" i="9"/>
  <c r="AA15" i="9" s="1"/>
  <c r="V14" i="9"/>
  <c r="AA14" i="9" s="1"/>
  <c r="V13" i="9"/>
  <c r="AA13" i="9" s="1"/>
  <c r="V12" i="9"/>
  <c r="AA12" i="9" s="1"/>
  <c r="V11" i="9"/>
  <c r="AA11" i="9" s="1"/>
  <c r="V10" i="9"/>
  <c r="AA10" i="9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V3" i="9"/>
  <c r="V4" i="9"/>
  <c r="V5" i="9"/>
  <c r="V7" i="9"/>
  <c r="Z16" i="9"/>
  <c r="Z17" i="9"/>
  <c r="Z19" i="9"/>
  <c r="Z31" i="9"/>
  <c r="I24" i="19"/>
  <c r="I27" i="19"/>
  <c r="I28" i="19"/>
  <c r="Z30" i="9"/>
  <c r="Z18" i="9"/>
  <c r="Z27" i="9"/>
  <c r="Z28" i="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V8" i="9" l="1"/>
  <c r="AA8" i="9" s="1"/>
  <c r="V9" i="9"/>
  <c r="AA9" i="9" s="1"/>
  <c r="Z6" i="9"/>
  <c r="V2" i="9"/>
  <c r="AA2" i="9" s="1"/>
  <c r="V6" i="9"/>
  <c r="AA6" i="9" s="1"/>
  <c r="Z11" i="9"/>
  <c r="Z8" i="9"/>
  <c r="AA4" i="9"/>
  <c r="AA3" i="9"/>
  <c r="Z4" i="9"/>
  <c r="AA5" i="9"/>
  <c r="Z5" i="9"/>
  <c r="Z2" i="9"/>
  <c r="Z15" i="9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J17" i="10"/>
  <c r="J16" i="10"/>
  <c r="J13" i="10"/>
  <c r="Z3" i="9"/>
  <c r="M12" i="10"/>
  <c r="M13" i="10"/>
  <c r="M16" i="10"/>
  <c r="M17" i="10"/>
  <c r="M18" i="10"/>
  <c r="H16" i="10"/>
  <c r="H17" i="10"/>
  <c r="H12" i="10"/>
  <c r="J12" i="10" s="1"/>
  <c r="H13" i="10"/>
  <c r="Z10" i="9"/>
  <c r="S42" i="6" l="1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Y5" i="9"/>
  <c r="I23" i="6"/>
  <c r="Y4" i="9"/>
  <c r="Y7" i="9"/>
  <c r="B14" i="6" s="1" a="1"/>
  <c r="B14" i="6" s="1"/>
  <c r="D14" i="6" s="1" a="1"/>
  <c r="D14" i="6" s="1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F26" i="6" l="1"/>
  <c r="D26" i="6" a="1"/>
  <c r="D26" i="6" s="1"/>
  <c r="C26" i="6" s="1"/>
  <c r="F19" i="6"/>
  <c r="L19" i="6" s="1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L20" i="6" s="1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C47" i="6"/>
  <c r="F15" i="6"/>
  <c r="B16" i="6" a="1"/>
  <c r="B16" i="6" s="1"/>
  <c r="P45" i="6" a="1"/>
  <c r="P45" i="6" s="1"/>
  <c r="Q45" i="6" s="1"/>
  <c r="C42" i="6"/>
  <c r="C41" i="6"/>
  <c r="B13" i="6" a="1"/>
  <c r="B13" i="6" s="1"/>
  <c r="F14" i="6"/>
  <c r="H45" i="6" a="1"/>
  <c r="H45" i="6" s="1"/>
  <c r="I45" i="6" s="1"/>
  <c r="R45" i="6" a="1"/>
  <c r="R45" i="6" s="1"/>
  <c r="S45" i="6" s="1"/>
  <c r="N45" i="6" a="1"/>
  <c r="N45" i="6" s="1"/>
  <c r="O45" i="6" s="1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3" i="6" l="1"/>
  <c r="D13" i="6" a="1"/>
  <c r="D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C13" i="6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28" i="6" l="1"/>
  <c r="G47" i="6"/>
  <c r="C12" i="6"/>
  <c r="S23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Q22" i="6"/>
  <c r="B107" i="7" s="1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S37" i="6"/>
  <c r="B179" i="7" s="1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<sst xmlns="http://schemas.openxmlformats.org/spreadsheetml/2006/main" count="205" uniqueCount="118">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</sst>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70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zoomScaleNormal="100" workbookViewId="0">
      <selection activeCell="B11" sqref="B11:C12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4" t="s">
        <v>37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6"/>
      <c r="M1" s="38" t="s">
        <v>71</v>
      </c>
      <c r="N1" s="39" t="s">
        <v>65</v>
      </c>
      <c r="O1" s="219" t="s">
        <v>70</v>
      </c>
      <c r="P1" s="220"/>
      <c r="Q1" s="220"/>
      <c r="R1" s="220"/>
      <c r="S1" s="22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2"/>
      <c r="P2" s="223"/>
      <c r="Q2" s="223"/>
      <c r="R2" s="223"/>
      <c r="S2" s="224"/>
    </row>
    <row r="3" spans="1:19">
      <c r="A3" s="20" t="s">
        <v>50</v>
      </c>
      <c r="B3" s="242"/>
      <c r="C3" s="243"/>
      <c r="D3" s="244"/>
      <c r="H3" s="20" t="s">
        <v>60</v>
      </c>
      <c r="I3" s="175"/>
      <c r="J3" s="176"/>
      <c r="K3" s="177"/>
      <c r="M3" s="27">
        <v>2</v>
      </c>
      <c r="N3" s="76"/>
      <c r="O3" s="237"/>
      <c r="P3" s="238"/>
      <c r="Q3" s="238"/>
      <c r="R3" s="238"/>
      <c r="S3" s="239"/>
    </row>
    <row r="4" spans="1:19">
      <c r="A4" s="21" t="s">
        <v>48</v>
      </c>
      <c r="B4" s="213"/>
      <c r="C4" s="214"/>
      <c r="D4" s="215"/>
      <c r="H4" s="21" t="s">
        <v>61</v>
      </c>
      <c r="I4" s="216"/>
      <c r="J4" s="217"/>
      <c r="K4" s="218"/>
      <c r="M4" s="27">
        <v>3</v>
      </c>
      <c r="N4" s="76"/>
      <c r="O4" s="237"/>
      <c r="P4" s="238"/>
      <c r="Q4" s="238"/>
      <c r="R4" s="238"/>
      <c r="S4" s="239"/>
    </row>
    <row r="5" spans="1:19">
      <c r="A5" s="21" t="s">
        <v>49</v>
      </c>
      <c r="B5" s="252"/>
      <c r="C5" s="253"/>
      <c r="D5" s="254"/>
      <c r="H5" s="21" t="s">
        <v>62</v>
      </c>
      <c r="I5" s="261"/>
      <c r="J5" s="238"/>
      <c r="K5" s="239"/>
      <c r="M5" s="27">
        <v>4</v>
      </c>
      <c r="N5" s="76"/>
      <c r="O5" s="237"/>
      <c r="P5" s="238"/>
      <c r="Q5" s="238"/>
      <c r="R5" s="238"/>
      <c r="S5" s="239"/>
    </row>
    <row r="6" spans="1:19" ht="15.75" thickBot="1">
      <c r="A6" s="22" t="s">
        <v>7</v>
      </c>
      <c r="B6" s="257"/>
      <c r="C6" s="258"/>
      <c r="D6" s="259"/>
      <c r="H6" s="22" t="s">
        <v>63</v>
      </c>
      <c r="I6" s="260"/>
      <c r="J6" s="226"/>
      <c r="K6" s="227"/>
      <c r="M6" s="28">
        <v>5</v>
      </c>
      <c r="N6" s="77"/>
      <c r="O6" s="225"/>
      <c r="P6" s="226"/>
      <c r="Q6" s="226"/>
      <c r="R6" s="226"/>
      <c r="S6" s="227"/>
    </row>
    <row r="7" spans="1:19" s="51" customFormat="1" ht="2.1" hidden="1" customHeight="1" thickBot="1"/>
    <row r="8" spans="1:19" ht="15.75" customHeight="1" thickBot="1">
      <c r="A8" s="181" t="s">
        <v>1</v>
      </c>
      <c r="B8" s="182"/>
      <c r="C8" s="182"/>
      <c r="D8" s="183"/>
      <c r="F8" s="228" t="s">
        <v>74</v>
      </c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30"/>
    </row>
    <row r="9" spans="1:19" ht="15.75" thickBot="1">
      <c r="A9" s="184"/>
      <c r="B9" s="185"/>
      <c r="C9" s="185"/>
      <c r="D9" s="186"/>
      <c r="F9" s="209" t="s">
        <v>28</v>
      </c>
      <c r="G9" s="210"/>
      <c r="H9" s="255" t="s">
        <v>29</v>
      </c>
      <c r="I9" s="256"/>
      <c r="J9" s="207" t="s">
        <v>16</v>
      </c>
      <c r="K9" s="208"/>
      <c r="L9" s="250" t="s">
        <v>19</v>
      </c>
      <c r="M9" s="251"/>
      <c r="N9" s="187" t="s">
        <v>82</v>
      </c>
      <c r="O9" s="188"/>
      <c r="P9" s="202" t="s">
        <v>69</v>
      </c>
      <c r="Q9" s="203"/>
      <c r="R9" s="187" t="s">
        <v>18</v>
      </c>
      <c r="S9" s="188"/>
    </row>
    <row r="10" spans="1:19" ht="15.75" thickBot="1">
      <c r="A10" s="240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79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9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IF(AND(F12&lt;&gt;"",COUNTIF($F$11:F11,F12)&gt;0),"",IFERROR(IF(AND(P12&lt;&gt;"",SUMIFS(Cant!$I$2:$I$99,Cant!$M$2:$M$99,P12,Cant!$J$2:$J$99,"43/1.0")&gt;0),SUMIFS(Cant!$I$2:$I$99,Cant!$M$2:$M$99,P12,Cant!$J$2:$J$99,"43/1.0"),""),""))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IF(AND(F12&lt;&gt;"",COUNTIF($F$11:F11,F12)&gt;0),"",IFERROR(IF(AND(R12&lt;&gt;"",SUMIFS(Cant!$I$2:$I$99,Cant!$M$2:$M$99,R12,Cant!$J$2:$J$99,"43/1.0")&gt;0),SUMIFS(Cant!$I$2:$I$99,Cant!$M$2:$M$99,R12,Cant!$J$2:$J$99,"43/1.0"),""),""))</f>
        <v/>
      </c>
    </row>
    <row r="13" spans="1:19">
      <c r="A13" s="179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IF(AND(F13&lt;&gt;"",COUNTIF($F$11:F12,F13)&gt;0),"",IFERROR(IF(AND(P13&lt;&gt;"",SUMIFS(Cant!$I$2:$I$99,Cant!$M$2:$M$99,P13,Cant!$J$2:$J$99,"43/1.0")&gt;0),SUMIFS(Cant!$I$2:$I$99,Cant!$M$2:$M$99,P13,Cant!$J$2:$J$99,"43/1.0"),""),""))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IF(AND(F13&lt;&gt;"",COUNTIF($F$11:F12,F13)&gt;0),"",IFERROR(IF(AND(R13&lt;&gt;"",SUMIFS(Cant!$I$2:$I$99,Cant!$M$2:$M$99,R13,Cant!$J$2:$J$99,"43/1.0")&gt;0),SUMIFS(Cant!$I$2:$I$99,Cant!$M$2:$M$99,R13,Cant!$J$2:$J$99,"43/1.0"),""),""))</f>
        <v/>
      </c>
    </row>
    <row r="14" spans="1:19">
      <c r="A14" s="179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IF(AND(F14&lt;&gt;"",COUNTIF($F$11:F13,F14)&gt;0),"",IFERROR(IF(AND(P14&lt;&gt;"",SUMIFS(Cant!$I$2:$I$99,Cant!$M$2:$M$99,P14,Cant!$J$2:$J$99,"43/1.0")&gt;0),SUMIFS(Cant!$I$2:$I$99,Cant!$M$2:$M$99,P14,Cant!$J$2:$J$99,"43/1.0"),""),""))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IF(AND(F14&lt;&gt;"",COUNTIF($F$11:F13,F14)&gt;0),"",IFERROR(IF(AND(R14&lt;&gt;"",SUMIFS(Cant!$I$2:$I$99,Cant!$M$2:$M$99,R14,Cant!$J$2:$J$99,"43/1.0")&gt;0),SUMIFS(Cant!$I$2:$I$99,Cant!$M$2:$M$99,R14,Cant!$J$2:$J$99,"43/1.0"),""),""))</f>
        <v/>
      </c>
    </row>
    <row r="15" spans="1:19">
      <c r="A15" s="179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IF(AND(F15&lt;&gt;"",COUNTIF($F$11:F14,F15)&gt;0),"",IFERROR(IF(AND(P15&lt;&gt;"",SUMIFS(Cant!$I$2:$I$99,Cant!$M$2:$M$99,P15,Cant!$J$2:$J$99,"43/1.0")&gt;0),SUMIFS(Cant!$I$2:$I$99,Cant!$M$2:$M$99,P15,Cant!$J$2:$J$99,"43/1.0"),""),""))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IF(AND(F15&lt;&gt;"",COUNTIF($F$11:F14,F15)&gt;0),"",IFERROR(IF(AND(R15&lt;&gt;"",SUMIFS(Cant!$I$2:$I$99,Cant!$M$2:$M$99,R15,Cant!$J$2:$J$99,"43/1.0")&gt;0),SUMIFS(Cant!$I$2:$I$99,Cant!$M$2:$M$99,R15,Cant!$J$2:$J$99,"43/1.0"),""),""))</f>
        <v/>
      </c>
    </row>
    <row r="16" spans="1:19">
      <c r="A16" s="179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IF(AND(F16&lt;&gt;"",COUNTIF($F$11:F15,F16)&gt;0),"",IFERROR(IF(AND(P16&lt;&gt;"",SUMIFS(Cant!$I$2:$I$99,Cant!$M$2:$M$99,P16,Cant!$J$2:$J$99,"43/1.0")&gt;0),SUMIFS(Cant!$I$2:$I$99,Cant!$M$2:$M$99,P16,Cant!$J$2:$J$99,"43/1.0"),""),""))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IF(AND(F16&lt;&gt;"",COUNTIF($F$11:F15,F16)&gt;0),"",IFERROR(IF(AND(R16&lt;&gt;"",SUMIFS(Cant!$I$2:$I$99,Cant!$M$2:$M$99,R16,Cant!$J$2:$J$99,"43/1.0")&gt;0),SUMIFS(Cant!$I$2:$I$99,Cant!$M$2:$M$99,R16,Cant!$J$2:$J$99,"43/1.0"),""),""))</f>
        <v/>
      </c>
    </row>
    <row r="17" spans="1:19">
      <c r="A17" s="179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IF(AND(F17&lt;&gt;"",COUNTIF($F$11:F16,F17)&gt;0),"",IFERROR(IF(AND(P17&lt;&gt;"",SUMIFS(Cant!$I$2:$I$99,Cant!$M$2:$M$99,P17,Cant!$J$2:$J$99,"43/1.0")&gt;0),SUMIFS(Cant!$I$2:$I$99,Cant!$M$2:$M$99,P17,Cant!$J$2:$J$99,"43/1.0"),""),""))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IF(AND(F17&lt;&gt;"",COUNTIF($F$11:F16,F17)&gt;0),"",IFERROR(IF(AND(R17&lt;&gt;"",SUMIFS(Cant!$I$2:$I$99,Cant!$M$2:$M$99,R17,Cant!$J$2:$J$99,"43/1.0")&gt;0),SUMIFS(Cant!$I$2:$I$99,Cant!$M$2:$M$99,R17,Cant!$J$2:$J$99,"43/1.0"),""),""))</f>
        <v/>
      </c>
    </row>
    <row r="18" spans="1:19">
      <c r="A18" s="179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IF(AND(F18&lt;&gt;"",COUNTIF($F$11:F17,F18)&gt;0),"",IFERROR(IF(AND(P18&lt;&gt;"",SUMIFS(Cant!$I$2:$I$99,Cant!$M$2:$M$99,P18,Cant!$J$2:$J$99,"43/1.0")&gt;0),SUMIFS(Cant!$I$2:$I$99,Cant!$M$2:$M$99,P18,Cant!$J$2:$J$99,"43/1.0"),""),""))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IF(AND(F18&lt;&gt;"",COUNTIF($F$11:F17,F18)&gt;0),"",IFERROR(IF(AND(R18&lt;&gt;"",SUMIFS(Cant!$I$2:$I$99,Cant!$M$2:$M$99,R18,Cant!$J$2:$J$99,"43/1.0")&gt;0),SUMIFS(Cant!$I$2:$I$99,Cant!$M$2:$M$99,R18,Cant!$J$2:$J$99,"43/1.0"),""),""))</f>
        <v/>
      </c>
    </row>
    <row r="19" spans="1:19">
      <c r="A19" s="179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IF(AND(F19&lt;&gt;"",COUNTIF($F$11:F18,F19)&gt;0),"",IFERROR(IF(AND(P19&lt;&gt;"",SUMIFS(Cant!$I$2:$I$99,Cant!$M$2:$M$99,P19,Cant!$J$2:$J$99,"43/1.0")&gt;0),SUMIFS(Cant!$I$2:$I$99,Cant!$M$2:$M$99,P19,Cant!$J$2:$J$99,"43/1.0"),""),""))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IF(AND(F19&lt;&gt;"",COUNTIF($F$11:F18,F19)&gt;0),"",IFERROR(IF(AND(R19&lt;&gt;"",SUMIFS(Cant!$I$2:$I$99,Cant!$M$2:$M$99,R19,Cant!$J$2:$J$99,"43/1.0")&gt;0),SUMIFS(Cant!$I$2:$I$99,Cant!$M$2:$M$99,R19,Cant!$J$2:$J$99,"43/1.0"),""),""))</f>
        <v/>
      </c>
    </row>
    <row r="20" spans="1:19">
      <c r="A20" s="179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IF(AND(F20&lt;&gt;"",COUNTIF($F$11:F19,F20)&gt;0),"",IFERROR(IF(AND(P20&lt;&gt;"",SUMIFS(Cant!$I$2:$I$99,Cant!$M$2:$M$99,P20,Cant!$J$2:$J$99,"43/1.0")&gt;0),SUMIFS(Cant!$I$2:$I$99,Cant!$M$2:$M$99,P20,Cant!$J$2:$J$99,"43/1.0"),""),""))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IF(AND(F20&lt;&gt;"",COUNTIF($F$11:F19,F20)&gt;0),"",IFERROR(IF(AND(R20&lt;&gt;"",SUMIFS(Cant!$I$2:$I$99,Cant!$M$2:$M$99,R20,Cant!$J$2:$J$99,"43/1.0")&gt;0),SUMIFS(Cant!$I$2:$I$99,Cant!$M$2:$M$99,R20,Cant!$J$2:$J$99,"43/1.0"),""),""))</f>
        <v/>
      </c>
    </row>
    <row r="21" spans="1:19">
      <c r="A21" s="179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IF(AND(F21&lt;&gt;"",COUNTIF($F$11:F20,F21)&gt;0),"",IFERROR(IF(AND(P21&lt;&gt;"",SUMIFS(Cant!$I$2:$I$99,Cant!$M$2:$M$99,P21,Cant!$J$2:$J$99,"43/1.0")&gt;0),SUMIFS(Cant!$I$2:$I$99,Cant!$M$2:$M$99,P21,Cant!$J$2:$J$99,"43/1.0"),""),""))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IF(AND(F21&lt;&gt;"",COUNTIF($F$11:F20,F21)&gt;0),"",IFERROR(IF(AND(R21&lt;&gt;"",SUMIFS(Cant!$I$2:$I$99,Cant!$M$2:$M$99,R21,Cant!$J$2:$J$99,"43/1.0")&gt;0),SUMIFS(Cant!$I$2:$I$99,Cant!$M$2:$M$99,R21,Cant!$J$2:$J$99,"43/1.0"),""),""))</f>
        <v/>
      </c>
    </row>
    <row r="22" spans="1:19" ht="15.75" thickBot="1">
      <c r="A22" s="241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IF(AND(F22&lt;&gt;"",COUNTIF($F$11:F21,F22)&gt;0),"",IFERROR(IF(AND(P22&lt;&gt;"",SUMIFS(Cant!$I$2:$I$99,Cant!$M$2:$M$99,P22,Cant!$J$2:$J$99,"43/1.0")&gt;0),SUMIFS(Cant!$I$2:$I$99,Cant!$M$2:$M$99,P22,Cant!$J$2:$J$99,"43/1.0"),""),""))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IF(AND(F22&lt;&gt;"",COUNTIF($F$11:F21,F22)&gt;0),"",IFERROR(IF(AND(R22&lt;&gt;"",SUMIFS(Cant!$I$2:$I$99,Cant!$M$2:$M$99,R22,Cant!$J$2:$J$99,"43/1.0")&gt;0),SUMIFS(Cant!$I$2:$I$99,Cant!$M$2:$M$99,R22,Cant!$J$2:$J$99,"43/1.0"),""),""))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IF(AND(F23&lt;&gt;"",COUNTIF($F$11:F22,F23)&gt;0),"",IFERROR(IF(AND(R23&lt;&gt;"",SUMIFS(Cant!$I$2:$I$99,Cant!$M$2:$M$99,R23,Cant!$J$2:$J$99,"43/1.0")&gt;0),SUMIFS(Cant!$I$2:$I$99,Cant!$M$2:$M$99,R23,Cant!$J$2:$J$99,"43/1.0"),""),""))</f>
        <v/>
      </c>
    </row>
    <row r="24" spans="1:19">
      <c r="A24" s="240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IF(AND(F24&lt;&gt;"",COUNTIF($F$11:F23,F24)&gt;0),"",IFERROR(IF(AND(P24&lt;&gt;"",SUMIFS(Cant!$I$2:$I$99,Cant!$M$2:$M$99,P24,Cant!$J$2:$J$99,"43/1.0")&gt;0),SUMIFS(Cant!$I$2:$I$99,Cant!$M$2:$M$99,P24,Cant!$J$2:$J$99,"43/1.0"),""),""))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IF(AND(F24&lt;&gt;"",COUNTIF($F$11:F23,F24)&gt;0),"",IFERROR(IF(AND(R24&lt;&gt;"",SUMIFS(Cant!$I$2:$I$99,Cant!$M$2:$M$99,R24,Cant!$J$2:$J$99,"43/1.0")&gt;0),SUMIFS(Cant!$I$2:$I$99,Cant!$M$2:$M$99,R24,Cant!$J$2:$J$99,"43/1.0"),""),""))</f>
        <v/>
      </c>
    </row>
    <row r="25" spans="1:19">
      <c r="A25" s="179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IF(AND(F25&lt;&gt;"",COUNTIF($F$11:F24,F25)&gt;0),"",IFERROR(IF(AND(P25&lt;&gt;"",SUMIFS(Cant!$I$2:$I$99,Cant!$M$2:$M$99,P25,Cant!$J$2:$J$99,"43/1.0")&gt;0),SUMIFS(Cant!$I$2:$I$99,Cant!$M$2:$M$99,P25,Cant!$J$2:$J$99,"43/1.0"),""),""))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IF(AND(F25&lt;&gt;"",COUNTIF($F$11:F24,F25)&gt;0),"",IFERROR(IF(AND(R25&lt;&gt;"",SUMIFS(Cant!$I$2:$I$99,Cant!$M$2:$M$99,R25,Cant!$J$2:$J$99,"43/1.0")&gt;0),SUMIFS(Cant!$I$2:$I$99,Cant!$M$2:$M$99,R25,Cant!$J$2:$J$99,"43/1.0"),""),""))</f>
        <v/>
      </c>
    </row>
    <row r="26" spans="1:19">
      <c r="A26" s="179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IF(AND(F26&lt;&gt;"",COUNTIF($F$11:F25,F26)&gt;0),"",IFERROR(IF(AND(P26&lt;&gt;"",SUMIFS(Cant!$I$2:$I$99,Cant!$M$2:$M$99,P26,Cant!$J$2:$J$99,"43/1.0")&gt;0),SUMIFS(Cant!$I$2:$I$99,Cant!$M$2:$M$99,P26,Cant!$J$2:$J$99,"43/1.0"),""),""))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IF(AND(F26&lt;&gt;"",COUNTIF($F$11:F25,F26)&gt;0),"",IFERROR(IF(AND(R26&lt;&gt;"",SUMIFS(Cant!$I$2:$I$99,Cant!$M$2:$M$99,R26,Cant!$J$2:$J$99,"43/1.0")&gt;0),SUMIFS(Cant!$I$2:$I$99,Cant!$M$2:$M$99,R26,Cant!$J$2:$J$99,"43/1.0"),""),""))</f>
        <v/>
      </c>
    </row>
    <row r="27" spans="1:19">
      <c r="A27" s="179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IF(AND(F27&lt;&gt;"",COUNTIF($F$11:F26,F27)&gt;0),"",IFERROR(IF(AND(P27&lt;&gt;"",SUMIFS(Cant!$I$2:$I$99,Cant!$M$2:$M$99,P27,Cant!$J$2:$J$99,"43/1.0")&gt;0),SUMIFS(Cant!$I$2:$I$99,Cant!$M$2:$M$99,P27,Cant!$J$2:$J$99,"43/1.0"),""),""))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IF(AND(F27&lt;&gt;"",COUNTIF($F$11:F26,F27)&gt;0),"",IFERROR(IF(AND(R27&lt;&gt;"",SUMIFS(Cant!$I$2:$I$99,Cant!$M$2:$M$99,R27,Cant!$J$2:$J$99,"43/1.0")&gt;0),SUMIFS(Cant!$I$2:$I$99,Cant!$M$2:$M$99,R27,Cant!$J$2:$J$99,"43/1.0"),""),""))</f>
        <v/>
      </c>
    </row>
    <row r="28" spans="1:19" ht="15.75" thickBot="1">
      <c r="A28" s="180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IF(AND(F28&lt;&gt;"",COUNTIF($F$11:F27,F28)&gt;0),"",IFERROR(IF(AND(P28&lt;&gt;"",SUMIFS(Cant!$I$2:$I$99,Cant!$M$2:$M$99,P28,Cant!$J$2:$J$99,"43/1.0")&gt;0),SUMIFS(Cant!$I$2:$I$99,Cant!$M$2:$M$99,P28,Cant!$J$2:$J$99,"43/1.0"),""),""))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IF(AND(F28&lt;&gt;"",COUNTIF($F$11:F27,F28)&gt;0),"",IFERROR(IF(AND(R28&lt;&gt;"",SUMIFS(Cant!$I$2:$I$99,Cant!$M$2:$M$99,R28,Cant!$J$2:$J$99,"43/1.0")&gt;0),SUMIFS(Cant!$I$2:$I$99,Cant!$M$2:$M$99,R28,Cant!$J$2:$J$99,"43/1.0"),""),""))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0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IF(AND(F32&lt;&gt;"",COUNTIF($F$11:F31,F32)&gt;0),"",IFERROR(IF(AND(R32&lt;&gt;"",SUMIFS(Cant!$I$2:$I$99,Cant!$M$2:$M$99,R32,Cant!$J$2:$J$99,"43/1.0")&gt;0),SUMIFS(Cant!$I$2:$I$99,Cant!$M$2:$M$99,R32,Cant!$J$2:$J$99,"43/1.0"),""),""))</f>
        <v/>
      </c>
    </row>
    <row r="33" spans="1:19">
      <c r="A33" s="20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IF(AND(F33&lt;&gt;"",COUNTIF($F$11:F32,F33)&gt;0),"",IFERROR(IF(AND(R33&lt;&gt;"",SUMIFS(Cant!$I$2:$I$99,Cant!$M$2:$M$99,R33,Cant!$J$2:$J$99,"43/1.0")&gt;0),SUMIFS(Cant!$I$2:$I$99,Cant!$M$2:$M$99,R33,Cant!$J$2:$J$99,"43/1.0"),""),""))</f>
        <v/>
      </c>
    </row>
    <row r="34" spans="1:19" ht="15.75" thickBot="1">
      <c r="A34" s="20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IF(AND(F34&lt;&gt;"",COUNTIF($F$11:F33,F34)&gt;0),"",IFERROR(IF(AND(R34&lt;&gt;"",SUMIFS(Cant!$I$2:$I$99,Cant!$M$2:$M$99,R34,Cant!$J$2:$J$99,"43/1.0")&gt;0),SUMIFS(Cant!$I$2:$I$99,Cant!$M$2:$M$99,R34,Cant!$J$2:$J$99,"43/1.0"),""),""))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0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IF(AND(F36&lt;&gt;"",COUNTIF($F$11:F35,F36)&gt;0),"",IFERROR(IF(AND(R36&lt;&gt;"",SUMIFS(Cant!$I$2:$I$99,Cant!$M$2:$M$99,R36,Cant!$J$2:$J$99,"43/1.0")&gt;0),SUMIFS(Cant!$I$2:$I$99,Cant!$M$2:$M$99,R36,Cant!$J$2:$J$99,"43/1.0"),""),""))</f>
        <v/>
      </c>
    </row>
    <row r="37" spans="1:19">
      <c r="A37" s="20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IF(AND(F37&lt;&gt;"",COUNTIF($F$11:F36,F37)&gt;0),"",IFERROR(IF(AND(R37&lt;&gt;"",SUMIFS(Cant!$I$2:$I$99,Cant!$M$2:$M$99,R37,Cant!$J$2:$J$99,"43/1.0")&gt;0),SUMIFS(Cant!$I$2:$I$99,Cant!$M$2:$M$99,R37,Cant!$J$2:$J$99,"43/1.0"),""),""))</f>
        <v/>
      </c>
    </row>
    <row r="38" spans="1:19" ht="15.75" thickBot="1">
      <c r="A38" s="20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IF(AND(F38&lt;&gt;"",COUNTIF($F$11:F37,F38)&gt;0),"",IFERROR(IF(AND(R38&lt;&gt;"",SUMIFS(Cant!$I$2:$I$99,Cant!$M$2:$M$99,R38,Cant!$J$2:$J$99,"43/1.0")&gt;0),SUMIFS(Cant!$I$2:$I$99,Cant!$M$2:$M$99,R38,Cant!$J$2:$J$99,"43/1.0"),""),""))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40" t="s">
        <v>51</v>
      </c>
      <c r="B40" s="32" t="s">
        <v>68</v>
      </c>
      <c r="C40" s="32" t="s">
        <v>72</v>
      </c>
      <c r="D40" s="18" t="s">
        <v>52</v>
      </c>
      <c r="F40" s="231" t="s">
        <v>73</v>
      </c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3"/>
    </row>
    <row r="41" spans="1:19" ht="15.75" thickBot="1">
      <c r="A41" s="179"/>
      <c r="B41" s="35" t="s">
        <v>83</v>
      </c>
      <c r="C41" s="29">
        <f>SUMIF(Taiere!I2:I99, "PAL",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79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8">
        <f>IF(COUNTIF(Deco!AA2:AA34,"Vezi EK")&gt;0,0,1)</f>
        <v>1</v>
      </c>
    </row>
    <row r="43" spans="1:19" ht="15.75" thickBot="1">
      <c r="A43" s="179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228" t="str">
        <f>IF(COUNTIF(Deco!AA2:AA34,"Vezi EK")&gt;0,"Atentie! Verifica EK dublaje","Nr. Piese Dublaje")</f>
        <v>Nr. Piese Dublaje</v>
      </c>
      <c r="G43" s="229"/>
      <c r="H43" s="229"/>
      <c r="I43" s="229"/>
      <c r="J43" s="229"/>
      <c r="K43" s="229"/>
      <c r="L43" s="229"/>
      <c r="M43" s="229"/>
      <c r="N43" s="229"/>
      <c r="O43" s="229"/>
      <c r="P43" s="229"/>
      <c r="Q43" s="229"/>
      <c r="R43" s="229"/>
      <c r="S43" s="245"/>
    </row>
    <row r="44" spans="1:19">
      <c r="A44" s="179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79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17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79"/>
      <c r="B47" s="33" t="s">
        <v>86</v>
      </c>
      <c r="C47" s="30">
        <f>SUMIF(Taiere!I2:I99, "MDF", Taiere!C2:C99)</f>
        <v>0</v>
      </c>
      <c r="D47" s="74" t="s">
        <v>54</v>
      </c>
      <c r="F47" s="198" t="s">
        <v>34</v>
      </c>
      <c r="G47" s="211" t="str">
        <f>IF(I6="PLAN M",SUM(C11:C28), "N/A")</f>
        <v>N/A</v>
      </c>
      <c r="J47" s="198" t="s">
        <v>88</v>
      </c>
      <c r="K47" s="200">
        <v>1</v>
      </c>
      <c r="N47" s="198" t="s">
        <v>110</v>
      </c>
      <c r="O47" s="246"/>
      <c r="P47" s="247"/>
      <c r="R47" s="198" t="s">
        <v>116</v>
      </c>
      <c r="S47" s="198"/>
    </row>
    <row r="48" spans="1:19" ht="15.75" thickBot="1">
      <c r="A48" s="180"/>
      <c r="B48" s="36" t="s">
        <v>87</v>
      </c>
      <c r="C48" s="31">
        <f>SUM(F45:S45)</f>
        <v>0</v>
      </c>
      <c r="D48" s="72" t="s">
        <v>55</v>
      </c>
      <c r="F48" s="199"/>
      <c r="G48" s="212"/>
      <c r="J48" s="199"/>
      <c r="K48" s="201"/>
      <c r="N48" s="245"/>
      <c r="O48" s="248"/>
      <c r="P48" s="249"/>
      <c r="R48" s="245"/>
      <c r="S48" s="199"/>
    </row>
    <row r="49" spans="1:19" ht="2.1" hidden="1" customHeight="1">
      <c r="A49" s="40"/>
      <c r="B49" s="41"/>
      <c r="C49" s="1"/>
      <c r="D49" s="2"/>
    </row>
    <row r="50" spans="1:19">
      <c r="A50" s="178" t="s">
        <v>66</v>
      </c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1"/>
    </row>
    <row r="51" spans="1:19">
      <c r="A51" s="179"/>
      <c r="B51" s="192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4"/>
    </row>
    <row r="52" spans="1:19">
      <c r="A52" s="179"/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4"/>
    </row>
    <row r="53" spans="1:19">
      <c r="A53" s="179"/>
      <c r="B53" s="192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4"/>
    </row>
    <row r="54" spans="1:19">
      <c r="A54" s="179"/>
      <c r="B54" s="192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4"/>
    </row>
    <row r="55" spans="1:19">
      <c r="A55" s="179"/>
      <c r="B55" s="192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4"/>
    </row>
    <row r="56" spans="1:19">
      <c r="A56" s="179"/>
      <c r="B56" s="192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4"/>
    </row>
    <row r="57" spans="1:19" ht="15.75" thickBot="1">
      <c r="A57" s="180"/>
      <c r="B57" s="195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7"/>
    </row>
  </sheetData>
  <mergeCells count="42"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"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M8" sqref="M8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A2" s="268"/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167"/>
      <c r="S2" s="164"/>
      <c r="T2" s="145"/>
      <c r="U2" s="145"/>
      <c r="V2" s="169">
        <f>IFERROR(IF(W2="DB",Q2/13.5, ROUND(Q2/P2,2)),"")</f>
        <v>0</v>
      </c>
      <c r="W2" t="str">
        <f>IF(
    OR(
        AND(D2=2800,E2=2070,OR(B2=19,B2=19.3)),
        AND(D2=2800,E2=1220,B2=18),
        AND(D2=3050,E2=1300,B2=19.3),
        RIGHT(A2,6)="MDF 3D"
    ),
    "MDF",
    IF(
        AND(
            D2=2800,
            E2=2070,
            OR(B2=18,B2=18.6,B2=8,B2=10,B2=16),
            RIGHT(A2,6)&lt;&gt;"MDF 3D"
        ),
        "PAL",
        IF(
            AND(D2=4100,OR(E2=600,E2=650,E2=920),OR(B2=38,B2=20)),
            "BLAT",
            IF(
                AND(D2=4100,E2=640,OR(B2=9.2,B2=8)),
                "PS",
                IF(B2=2.7,"HDF","DB")
            )
        )
    )
)</f>
        <v>DB</v>
      </c>
      <c r="X2" t="str">
        <f>IFERROR(IF(ISNUMBER(--LEFT(TRIM(MID(A2,FIND("-",A2)+1,50)),1)),
"AGT "&amp;TRIM(MID(A2,FIND("-",A2)+1,50)),
TRIM(MID(A2,FIND("-",A2)+1,50)))
&amp;IF(OR(E2=600,E2=650,E2=920)," /"&amp;E2,"")
&amp;IF(E2=640," "&amp;"PS",""),"")&amp;IF(AND(OR(B2=8,B2=10,B2=16),D2=2800,E2=2070),"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 xml:space="preserve"> </v>
      </c>
      <c r="Z2" t="str">
        <f>IF(W2="DB",IF(OR(ISNUMBER(FIND(" ST",X2)),ISNUMBER(FIND(" SM",X2)),ISNUMBER(FIND(" PM",X2)),ISNUMBER(FIND("TM/ST7",X2)),ISNUMBER(FIND(" PG",X2)),ISNUMBER(FIND(" PA",X2))),SUBSTITUTE(X2," ","",1),X2)," ")</f>
        <v/>
      </c>
      <c r="AA2" t="str">
        <f>IF(W2="DB", IF(V2=INT(V2),"OK", "Vezi EK"),"")</f>
        <v>OK</v>
      </c>
    </row>
    <row r="3" spans="1:27">
      <c r="A3" s="269"/>
      <c r="B3" s="269"/>
      <c r="C3" s="269"/>
      <c r="D3" s="269"/>
      <c r="E3" s="269"/>
      <c r="F3" s="269"/>
      <c r="G3" s="269"/>
      <c r="H3" s="269"/>
      <c r="I3" s="269"/>
      <c r="J3" s="269"/>
      <c r="K3" s="269"/>
      <c r="L3" s="269"/>
      <c r="M3" s="269"/>
      <c r="N3" s="269"/>
      <c r="O3" s="269"/>
      <c r="P3" s="269"/>
      <c r="Q3" s="269"/>
      <c r="R3" s="167"/>
      <c r="S3" s="164"/>
      <c r="T3" s="131"/>
      <c r="U3" s="145"/>
      <c r="V3" s="169">
        <f t="shared" ref="V3:V34" si="1">IFERROR(IF(W3="DB",Q3/13.5, ROUND(Q3/P3,2)),"")</f>
        <v>0</v>
      </c>
      <c r="W3" s="267" t="str">
        <f t="shared" ref="W3:W34" si="2">IF(
    OR(
        AND(D3=2800,E3=2070,OR(B3=19,B3=19.3)),
        AND(D3=2800,E3=1220,B3=18),
        AND(D3=3050,E3=1300,B3=19.3),
        RIGHT(A3,6)="MDF 3D"
    ),
    "MDF",
    IF(
        AND(
            D3=2800,
            E3=2070,
            OR(B3=18,B3=18.6,B3=8,B3=10,B3=16),
            RIGHT(A3,6)&lt;&gt;"MDF 3D"
        ),
        "PAL",
        IF(
            AND(D3=4100,OR(E3=600,E3=650,E3=920),OR(B3=38,B3=20)),
            "BLAT",
            IF(
                AND(D3=4100,E3=640,OR(B3=9.2,B3=8)),
                "PS",
                IF(B3=2.7,"HDF","DB")
            )
        )
    )
)</f>
        <v>DB</v>
      </c>
      <c r="X3" t="str">
        <f t="shared" ref="X3:X34" si="3">IFERROR(IF(ISNUMBER(--LEFT(TRIM(MID(A3,FIND("-",A3)+1,50)),1)),
"AGT "&amp;TRIM(MID(A3,FIND("-",A3)+1,50)),
TRIM(MID(A3,FIND("-",A3)+1,50)))
&amp;IF(OR(E3=600,E3=650,E3=920)," /"&amp;E3,"")
&amp;IF(E3=640," "&amp;"PS",""),"")&amp;IF(AND(OR(B3=8,B3=10,B3=16),D3=2800,E3=2070)," "&amp;B3&amp;"mm","")</f>
        <v/>
      </c>
      <c r="Y3" t="str">
        <f t="shared" si="0"/>
        <v xml:space="preserve"> </v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/>
      </c>
      <c r="AA3" t="str">
        <f t="shared" ref="AA3:AA34" si="5">IF(W3="DB", IF(V3=INT(V3),"OK", "Vezi EK"),"")</f>
        <v>OK</v>
      </c>
    </row>
    <row r="4" spans="1:27">
      <c r="A4" s="265"/>
      <c r="B4" s="265"/>
      <c r="C4" s="265"/>
      <c r="D4" s="265"/>
      <c r="E4" s="265"/>
      <c r="F4" s="265"/>
      <c r="G4" s="265"/>
      <c r="H4" s="265"/>
      <c r="I4" s="265"/>
      <c r="J4" s="265"/>
      <c r="K4" s="265"/>
      <c r="L4" s="265"/>
      <c r="M4" s="265"/>
      <c r="N4" s="265"/>
      <c r="O4" s="265"/>
      <c r="P4" s="265"/>
      <c r="Q4" s="265"/>
      <c r="R4" s="167"/>
      <c r="S4" s="164"/>
      <c r="T4" s="145"/>
      <c r="U4" s="131"/>
      <c r="V4" s="169">
        <f t="shared" si="1"/>
        <v>0</v>
      </c>
      <c r="W4" s="267" t="str">
        <f t="shared" si="2"/>
        <v>DB</v>
      </c>
      <c r="X4" t="str">
        <f t="shared" si="3"/>
        <v/>
      </c>
      <c r="Y4" t="str">
        <f t="shared" si="0"/>
        <v xml:space="preserve"> </v>
      </c>
      <c r="Z4" t="str">
        <f t="shared" si="4"/>
        <v/>
      </c>
      <c r="AA4" t="str">
        <f t="shared" si="5"/>
        <v>OK</v>
      </c>
    </row>
    <row r="5" spans="1:27">
      <c r="A5" s="266"/>
      <c r="B5" s="266"/>
      <c r="C5" s="266"/>
      <c r="D5" s="266"/>
      <c r="E5" s="266"/>
      <c r="F5" s="266"/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167"/>
      <c r="S5" s="164"/>
      <c r="T5" s="145"/>
      <c r="U5" s="131"/>
      <c r="V5" s="169">
        <f t="shared" si="1"/>
        <v>0</v>
      </c>
      <c r="W5" s="267" t="str">
        <f t="shared" si="2"/>
        <v>DB</v>
      </c>
      <c r="X5" t="str">
        <f t="shared" si="3"/>
        <v/>
      </c>
      <c r="Y5" t="str">
        <f t="shared" si="0"/>
        <v xml:space="preserve"> </v>
      </c>
      <c r="Z5" t="str">
        <f t="shared" si="4"/>
        <v/>
      </c>
      <c r="AA5" t="str">
        <f t="shared" si="5"/>
        <v>OK</v>
      </c>
    </row>
    <row r="6" spans="1:27">
      <c r="A6" s="266"/>
      <c r="B6" s="266"/>
      <c r="C6" s="266"/>
      <c r="D6" s="266"/>
      <c r="E6" s="266"/>
      <c r="F6" s="266"/>
      <c r="G6" s="266"/>
      <c r="H6" s="266"/>
      <c r="I6" s="266"/>
      <c r="J6" s="266"/>
      <c r="K6" s="266"/>
      <c r="L6" s="266"/>
      <c r="M6" s="266"/>
      <c r="N6" s="266"/>
      <c r="O6" s="266"/>
      <c r="P6" s="266"/>
      <c r="Q6" s="266"/>
      <c r="R6" s="167"/>
      <c r="S6" s="164"/>
      <c r="T6" s="145"/>
      <c r="U6" s="131"/>
      <c r="V6" s="169">
        <f t="shared" si="1"/>
        <v>0</v>
      </c>
      <c r="W6" s="267" t="str">
        <f t="shared" si="2"/>
        <v>DB</v>
      </c>
      <c r="X6" t="str">
        <f t="shared" si="3"/>
        <v/>
      </c>
      <c r="Y6" t="str">
        <f t="shared" si="0"/>
        <v xml:space="preserve"> </v>
      </c>
      <c r="Z6" t="str">
        <f t="shared" si="4"/>
        <v/>
      </c>
      <c r="AA6" t="str">
        <f t="shared" si="5"/>
        <v>OK</v>
      </c>
    </row>
    <row r="7" spans="1:27">
      <c r="A7" s="267"/>
      <c r="B7" s="267"/>
      <c r="C7" s="267"/>
      <c r="D7" s="267"/>
      <c r="E7" s="267"/>
      <c r="F7" s="267"/>
      <c r="G7" s="267"/>
      <c r="H7" s="267"/>
      <c r="I7" s="267"/>
      <c r="J7" s="267"/>
      <c r="K7" s="267"/>
      <c r="L7" s="267"/>
      <c r="M7" s="267"/>
      <c r="N7" s="267"/>
      <c r="O7" s="267"/>
      <c r="P7" s="267"/>
      <c r="Q7" s="267"/>
      <c r="R7" s="167"/>
      <c r="S7" s="164"/>
      <c r="T7" s="131"/>
      <c r="U7" s="131"/>
      <c r="V7" s="169">
        <f t="shared" si="1"/>
        <v>0</v>
      </c>
      <c r="W7" s="267" t="str">
        <f t="shared" si="2"/>
        <v>DB</v>
      </c>
      <c r="X7" t="str">
        <f t="shared" si="3"/>
        <v/>
      </c>
      <c r="Y7" t="str">
        <f t="shared" si="0"/>
        <v xml:space="preserve"> </v>
      </c>
      <c r="Z7" t="str">
        <f t="shared" si="4"/>
        <v/>
      </c>
      <c r="AA7" t="str">
        <f t="shared" si="5"/>
        <v>OK</v>
      </c>
    </row>
    <row r="8" spans="1:27">
      <c r="A8" s="267"/>
      <c r="B8" s="267"/>
      <c r="C8" s="267"/>
      <c r="D8" s="267"/>
      <c r="E8" s="267"/>
      <c r="F8" s="267"/>
      <c r="G8" s="267"/>
      <c r="H8" s="267"/>
      <c r="I8" s="267"/>
      <c r="J8" s="267"/>
      <c r="K8" s="267"/>
      <c r="L8" s="267"/>
      <c r="M8" s="267"/>
      <c r="N8" s="267"/>
      <c r="O8" s="267"/>
      <c r="P8" s="267"/>
      <c r="Q8" s="267"/>
      <c r="R8" s="167"/>
      <c r="S8" s="164"/>
      <c r="T8" s="145"/>
      <c r="U8" s="131"/>
      <c r="V8" s="169">
        <f t="shared" si="1"/>
        <v>0</v>
      </c>
      <c r="W8" s="267" t="str">
        <f t="shared" si="2"/>
        <v>DB</v>
      </c>
      <c r="X8" t="str">
        <f t="shared" si="3"/>
        <v/>
      </c>
      <c r="Y8" t="str">
        <f t="shared" si="0"/>
        <v xml:space="preserve"> </v>
      </c>
      <c r="Z8" t="str">
        <f t="shared" si="4"/>
        <v/>
      </c>
      <c r="AA8" t="str">
        <f t="shared" si="5"/>
        <v>OK</v>
      </c>
    </row>
    <row r="9" spans="1:27">
      <c r="A9" s="267"/>
      <c r="B9" s="267"/>
      <c r="C9" s="267"/>
      <c r="D9" s="267"/>
      <c r="E9" s="267"/>
      <c r="F9" s="267"/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7"/>
      <c r="R9" s="167"/>
      <c r="S9" s="164"/>
      <c r="T9" s="145"/>
      <c r="U9" s="129"/>
      <c r="V9" s="169">
        <f t="shared" si="1"/>
        <v>0</v>
      </c>
      <c r="W9" s="267" t="str">
        <f t="shared" si="2"/>
        <v>DB</v>
      </c>
      <c r="X9" t="str">
        <f t="shared" si="3"/>
        <v/>
      </c>
      <c r="Y9" t="str">
        <f t="shared" si="0"/>
        <v xml:space="preserve"> </v>
      </c>
      <c r="Z9" t="str">
        <f t="shared" si="4"/>
        <v/>
      </c>
      <c r="AA9" t="str">
        <f t="shared" si="5"/>
        <v>OK</v>
      </c>
    </row>
    <row r="10" spans="1:27">
      <c r="R10" s="167"/>
      <c r="S10" s="164"/>
      <c r="T10" s="145"/>
      <c r="U10" s="145"/>
      <c r="V10" s="169">
        <f t="shared" si="1"/>
        <v>0</v>
      </c>
      <c r="W10" s="267" t="str">
        <f t="shared" si="2"/>
        <v>DB</v>
      </c>
      <c r="X10" t="str">
        <f t="shared" si="3"/>
        <v/>
      </c>
      <c r="Y10" t="str">
        <f t="shared" si="0"/>
        <v xml:space="preserve"> </v>
      </c>
      <c r="Z10" t="str">
        <f t="shared" si="4"/>
        <v/>
      </c>
      <c r="AA10" t="str">
        <f t="shared" si="5"/>
        <v>OK</v>
      </c>
    </row>
    <row r="11" spans="1:27">
      <c r="R11" s="167"/>
      <c r="S11" s="164"/>
      <c r="T11" s="145"/>
      <c r="U11" s="145"/>
      <c r="V11" s="169">
        <f t="shared" si="1"/>
        <v>0</v>
      </c>
      <c r="W11" s="267" t="str">
        <f t="shared" si="2"/>
        <v>DB</v>
      </c>
      <c r="X11" t="str">
        <f t="shared" si="3"/>
        <v/>
      </c>
      <c r="Y11" t="str">
        <f t="shared" si="0"/>
        <v xml:space="preserve"> </v>
      </c>
      <c r="Z11" t="str">
        <f t="shared" si="4"/>
        <v/>
      </c>
      <c r="AA11" t="str">
        <f t="shared" si="5"/>
        <v>OK</v>
      </c>
    </row>
    <row r="12" spans="1:27">
      <c r="R12" s="167"/>
      <c r="S12" s="132"/>
      <c r="T12" s="132"/>
      <c r="U12" s="132"/>
      <c r="V12" s="169">
        <f t="shared" si="1"/>
        <v>0</v>
      </c>
      <c r="W12" s="267" t="str">
        <f t="shared" si="2"/>
        <v>DB</v>
      </c>
      <c r="X12" t="str">
        <f t="shared" si="3"/>
        <v/>
      </c>
      <c r="Y12" t="str">
        <f t="shared" si="0"/>
        <v xml:space="preserve"> </v>
      </c>
      <c r="Z12" t="str">
        <f t="shared" si="4"/>
        <v/>
      </c>
      <c r="AA12" t="str">
        <f t="shared" si="5"/>
        <v>OK</v>
      </c>
    </row>
    <row r="13" spans="1:27">
      <c r="R13" s="167"/>
      <c r="S13" s="160"/>
      <c r="T13" s="159"/>
      <c r="U13" s="165"/>
      <c r="V13" s="169">
        <f t="shared" si="1"/>
        <v>0</v>
      </c>
      <c r="W13" s="267" t="str">
        <f t="shared" si="2"/>
        <v>DB</v>
      </c>
      <c r="X13" t="str">
        <f t="shared" si="3"/>
        <v/>
      </c>
      <c r="Y13" t="str">
        <f t="shared" si="0"/>
        <v xml:space="preserve"> </v>
      </c>
      <c r="Z13" t="str">
        <f t="shared" si="4"/>
        <v/>
      </c>
      <c r="AA13" t="str">
        <f t="shared" si="5"/>
        <v>OK</v>
      </c>
    </row>
    <row r="14" spans="1:27">
      <c r="R14" s="167"/>
      <c r="S14" s="159"/>
      <c r="T14" s="160"/>
      <c r="U14" s="165"/>
      <c r="V14" s="169">
        <f t="shared" si="1"/>
        <v>0</v>
      </c>
      <c r="W14" s="267" t="str">
        <f t="shared" si="2"/>
        <v>DB</v>
      </c>
      <c r="X14" t="str">
        <f t="shared" si="3"/>
        <v/>
      </c>
      <c r="Y14" t="str">
        <f t="shared" si="0"/>
        <v xml:space="preserve"> </v>
      </c>
      <c r="Z14" t="str">
        <f t="shared" si="4"/>
        <v/>
      </c>
      <c r="AA14" t="str">
        <f t="shared" si="5"/>
        <v>OK</v>
      </c>
    </row>
    <row r="15" spans="1:27">
      <c r="R15" s="167"/>
      <c r="S15" s="160"/>
      <c r="T15" s="160"/>
      <c r="U15" s="132"/>
      <c r="V15" s="169">
        <f t="shared" si="1"/>
        <v>0</v>
      </c>
      <c r="W15" s="267" t="str">
        <f t="shared" si="2"/>
        <v>DB</v>
      </c>
      <c r="X15" t="str">
        <f t="shared" si="3"/>
        <v/>
      </c>
      <c r="Y15" t="str">
        <f t="shared" si="0"/>
        <v xml:space="preserve"> </v>
      </c>
      <c r="Z15" t="str">
        <f t="shared" si="4"/>
        <v/>
      </c>
      <c r="AA15" t="str">
        <f t="shared" si="5"/>
        <v>OK</v>
      </c>
    </row>
    <row r="16" spans="1:27">
      <c r="R16" s="168"/>
      <c r="S16" s="160"/>
      <c r="T16" s="160"/>
      <c r="U16" s="131"/>
      <c r="V16" s="169">
        <f t="shared" si="1"/>
        <v>0</v>
      </c>
      <c r="W16" s="267" t="str">
        <f t="shared" si="2"/>
        <v>DB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str">
        <f t="shared" si="4"/>
        <v/>
      </c>
      <c r="AA16" t="str">
        <f t="shared" si="5"/>
        <v>OK</v>
      </c>
    </row>
    <row r="17" spans="1:27">
      <c r="R17" s="168"/>
      <c r="S17" s="160"/>
      <c r="T17" s="160"/>
      <c r="U17" s="131"/>
      <c r="V17" s="169">
        <f t="shared" si="1"/>
        <v>0</v>
      </c>
      <c r="W17" s="267" t="str">
        <f t="shared" si="2"/>
        <v>DB</v>
      </c>
      <c r="X17" t="str">
        <f t="shared" si="3"/>
        <v/>
      </c>
      <c r="Y17" t="str">
        <f t="shared" si="6"/>
        <v xml:space="preserve"> </v>
      </c>
      <c r="Z17" t="str">
        <f t="shared" si="4"/>
        <v/>
      </c>
      <c r="AA17" t="str">
        <f t="shared" si="5"/>
        <v>OK</v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>
        <f t="shared" si="1"/>
        <v>0</v>
      </c>
      <c r="W18" s="267" t="str">
        <f t="shared" si="2"/>
        <v>DB</v>
      </c>
      <c r="X18" t="str">
        <f t="shared" si="3"/>
        <v/>
      </c>
      <c r="Y18" t="str">
        <f t="shared" si="6"/>
        <v xml:space="preserve"> </v>
      </c>
      <c r="Z18" t="str">
        <f t="shared" si="4"/>
        <v/>
      </c>
      <c r="AA18" t="str">
        <f t="shared" si="5"/>
        <v>OK</v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>
        <f t="shared" si="1"/>
        <v>0</v>
      </c>
      <c r="W19" s="267" t="str">
        <f t="shared" si="2"/>
        <v>DB</v>
      </c>
      <c r="X19" t="str">
        <f t="shared" si="3"/>
        <v/>
      </c>
      <c r="Y19" t="str">
        <f t="shared" si="6"/>
        <v xml:space="preserve"> </v>
      </c>
      <c r="Z19" t="str">
        <f t="shared" si="4"/>
        <v/>
      </c>
      <c r="AA19" t="str">
        <f t="shared" si="5"/>
        <v>OK</v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>
        <f t="shared" si="1"/>
        <v>0</v>
      </c>
      <c r="W20" s="267" t="str">
        <f t="shared" si="2"/>
        <v>DB</v>
      </c>
      <c r="X20" t="str">
        <f t="shared" si="3"/>
        <v/>
      </c>
      <c r="Y20" t="str">
        <f t="shared" si="6"/>
        <v xml:space="preserve"> </v>
      </c>
      <c r="Z20" t="str">
        <f t="shared" si="4"/>
        <v/>
      </c>
      <c r="AA20" t="str">
        <f t="shared" si="5"/>
        <v>OK</v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>
        <f t="shared" si="1"/>
        <v>0</v>
      </c>
      <c r="W21" s="267" t="str">
        <f t="shared" si="2"/>
        <v>DB</v>
      </c>
      <c r="X21" t="str">
        <f t="shared" si="3"/>
        <v/>
      </c>
      <c r="Y21" t="str">
        <f t="shared" si="6"/>
        <v xml:space="preserve"> </v>
      </c>
      <c r="Z21" t="str">
        <f t="shared" si="4"/>
        <v/>
      </c>
      <c r="AA21" t="str">
        <f t="shared" si="5"/>
        <v>OK</v>
      </c>
    </row>
    <row r="22" spans="1:27">
      <c r="V22" s="169">
        <f t="shared" si="1"/>
        <v>0</v>
      </c>
      <c r="W22" s="267" t="str">
        <f t="shared" si="2"/>
        <v>DB</v>
      </c>
      <c r="X22" t="str">
        <f t="shared" si="3"/>
        <v/>
      </c>
      <c r="Y22" t="str">
        <f t="shared" si="6"/>
        <v xml:space="preserve"> </v>
      </c>
      <c r="Z22" t="str">
        <f t="shared" si="4"/>
        <v/>
      </c>
      <c r="AA22" t="str">
        <f t="shared" si="5"/>
        <v>OK</v>
      </c>
    </row>
    <row r="23" spans="1:27">
      <c r="V23" s="169">
        <f t="shared" si="1"/>
        <v>0</v>
      </c>
      <c r="W23" s="267" t="str">
        <f t="shared" si="2"/>
        <v>DB</v>
      </c>
      <c r="X23" t="str">
        <f t="shared" si="3"/>
        <v/>
      </c>
      <c r="Y23" t="str">
        <f t="shared" si="6"/>
        <v xml:space="preserve"> </v>
      </c>
      <c r="Z23" t="str">
        <f t="shared" si="4"/>
        <v/>
      </c>
      <c r="AA23" t="str">
        <f t="shared" si="5"/>
        <v>OK</v>
      </c>
    </row>
    <row r="24" spans="1:27">
      <c r="V24" s="169">
        <f t="shared" si="1"/>
        <v>0</v>
      </c>
      <c r="W24" s="267" t="str">
        <f t="shared" si="2"/>
        <v>DB</v>
      </c>
      <c r="X24" t="str">
        <f t="shared" si="3"/>
        <v/>
      </c>
      <c r="Y24" t="str">
        <f t="shared" si="6"/>
        <v xml:space="preserve"> </v>
      </c>
      <c r="Z24" t="str">
        <f t="shared" si="4"/>
        <v/>
      </c>
      <c r="AA24" t="str">
        <f t="shared" si="5"/>
        <v>OK</v>
      </c>
    </row>
    <row r="25" spans="1:27">
      <c r="V25" s="169">
        <f t="shared" si="1"/>
        <v>0</v>
      </c>
      <c r="W25" s="267" t="str">
        <f t="shared" si="2"/>
        <v>DB</v>
      </c>
      <c r="X25" t="str">
        <f t="shared" si="3"/>
        <v/>
      </c>
      <c r="Z25" t="str">
        <f t="shared" si="4"/>
        <v/>
      </c>
      <c r="AA25" t="str">
        <f t="shared" si="5"/>
        <v>OK</v>
      </c>
    </row>
    <row r="26" spans="1:27">
      <c r="V26" s="169">
        <f t="shared" si="1"/>
        <v>0</v>
      </c>
      <c r="W26" s="267" t="str">
        <f t="shared" si="2"/>
        <v>DB</v>
      </c>
      <c r="X26" t="str">
        <f t="shared" si="3"/>
        <v/>
      </c>
      <c r="Z26" t="str">
        <f t="shared" si="4"/>
        <v/>
      </c>
      <c r="AA26" t="str">
        <f t="shared" si="5"/>
        <v>OK</v>
      </c>
    </row>
    <row r="27" spans="1:27">
      <c r="V27" s="169">
        <f t="shared" si="1"/>
        <v>0</v>
      </c>
      <c r="W27" s="267" t="str">
        <f t="shared" si="2"/>
        <v>DB</v>
      </c>
      <c r="X27" t="str">
        <f t="shared" si="3"/>
        <v/>
      </c>
      <c r="Z27" t="str">
        <f t="shared" si="4"/>
        <v/>
      </c>
      <c r="AA27" t="str">
        <f t="shared" si="5"/>
        <v>OK</v>
      </c>
    </row>
    <row r="28" spans="1:27">
      <c r="V28" s="169">
        <f t="shared" si="1"/>
        <v>0</v>
      </c>
      <c r="W28" s="267" t="str">
        <f t="shared" si="2"/>
        <v>DB</v>
      </c>
      <c r="X28" t="str">
        <f t="shared" si="3"/>
        <v/>
      </c>
      <c r="Z28" t="str">
        <f t="shared" si="4"/>
        <v/>
      </c>
      <c r="AA28" t="str">
        <f t="shared" si="5"/>
        <v>OK</v>
      </c>
    </row>
    <row r="29" spans="1:27">
      <c r="V29" s="169">
        <f t="shared" si="1"/>
        <v>0</v>
      </c>
      <c r="W29" s="267" t="str">
        <f t="shared" si="2"/>
        <v>DB</v>
      </c>
      <c r="X29" t="str">
        <f t="shared" si="3"/>
        <v/>
      </c>
      <c r="Z29" t="str">
        <f t="shared" si="4"/>
        <v/>
      </c>
      <c r="AA29" t="str">
        <f t="shared" si="5"/>
        <v>OK</v>
      </c>
    </row>
    <row r="30" spans="1:27">
      <c r="V30" s="169">
        <f t="shared" si="1"/>
        <v>0</v>
      </c>
      <c r="W30" s="267" t="str">
        <f t="shared" si="2"/>
        <v>DB</v>
      </c>
      <c r="X30" t="str">
        <f t="shared" si="3"/>
        <v/>
      </c>
      <c r="Z30" t="str">
        <f t="shared" si="4"/>
        <v/>
      </c>
      <c r="AA30" t="str">
        <f t="shared" si="5"/>
        <v>OK</v>
      </c>
    </row>
    <row r="31" spans="1:27">
      <c r="V31" s="169">
        <f t="shared" si="1"/>
        <v>0</v>
      </c>
      <c r="W31" s="267" t="str">
        <f t="shared" si="2"/>
        <v>DB</v>
      </c>
      <c r="X31" t="str">
        <f t="shared" si="3"/>
        <v/>
      </c>
      <c r="Z31" t="str">
        <f t="shared" si="4"/>
        <v/>
      </c>
      <c r="AA31" t="str">
        <f t="shared" si="5"/>
        <v>OK</v>
      </c>
    </row>
    <row r="32" spans="1:27">
      <c r="V32" s="169">
        <f t="shared" si="1"/>
        <v>0</v>
      </c>
      <c r="W32" s="267" t="str">
        <f t="shared" si="2"/>
        <v>DB</v>
      </c>
      <c r="X32" t="str">
        <f t="shared" si="3"/>
        <v/>
      </c>
      <c r="Z32" t="str">
        <f t="shared" si="4"/>
        <v/>
      </c>
      <c r="AA32" t="str">
        <f t="shared" si="5"/>
        <v>OK</v>
      </c>
    </row>
    <row r="33" spans="22:27">
      <c r="V33" s="169">
        <f t="shared" si="1"/>
        <v>0</v>
      </c>
      <c r="W33" s="267" t="str">
        <f t="shared" si="2"/>
        <v>DB</v>
      </c>
      <c r="X33" t="str">
        <f t="shared" si="3"/>
        <v/>
      </c>
      <c r="Z33" t="str">
        <f t="shared" si="4"/>
        <v/>
      </c>
      <c r="AA33" t="str">
        <f t="shared" si="5"/>
        <v>OK</v>
      </c>
    </row>
    <row r="34" spans="22:27">
      <c r="V34" s="169">
        <f t="shared" si="1"/>
        <v>0</v>
      </c>
      <c r="W34" s="267" t="str">
        <f t="shared" si="2"/>
        <v>DB</v>
      </c>
      <c r="X34" t="str">
        <f t="shared" si="3"/>
        <v/>
      </c>
      <c r="Z34" t="str">
        <f t="shared" si="4"/>
        <v/>
      </c>
      <c r="AA34" t="str">
        <f t="shared" si="5"/>
        <v>OK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" sqref="A2:E3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D16" sqref="D16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DB</v>
      </c>
    </row>
    <row r="3" spans="9:9">
      <c r="I3" t="str">
        <f>IF(ISNUMBER(SEARCH("CLMEL", A3)), "CLEAF", Deco!W3)</f>
        <v>DB</v>
      </c>
    </row>
    <row r="4" spans="9:9">
      <c r="I4" t="str">
        <f>IF(ISNUMBER(SEARCH("CLMEL", A4)), "CLEAF", Deco!W4)</f>
        <v>DB</v>
      </c>
    </row>
    <row r="5" spans="9:9">
      <c r="I5" t="str">
        <f>IF(ISNUMBER(SEARCH("CLMEL", A5)), "CLEAF", Deco!W5)</f>
        <v>DB</v>
      </c>
    </row>
    <row r="6" spans="9:9">
      <c r="I6" t="str">
        <f>IF(ISNUMBER(SEARCH("CLMEL", A6)), "CLEAF", Deco!W6)</f>
        <v>DB</v>
      </c>
    </row>
    <row r="7" spans="9:9">
      <c r="I7" t="str">
        <f>IF(ISNUMBER(SEARCH("CLMEL", A7)), "CLEAF", Deco!W7)</f>
        <v>DB</v>
      </c>
    </row>
    <row r="8" spans="9:9">
      <c r="I8" t="str">
        <f>IF(ISNUMBER(SEARCH("CLMEL", A8)), "CLEAF", Deco!W8)</f>
        <v>DB</v>
      </c>
    </row>
    <row r="9" spans="9:9">
      <c r="I9" t="str">
        <f>IF(ISNUMBER(SEARCH("CLMEL", A9)), "CLEAF", Deco!W9)</f>
        <v>DB</v>
      </c>
    </row>
    <row r="10" spans="9:9">
      <c r="I10" t="str">
        <f>IF(ISNUMBER(SEARCH("CLMEL", A10)), "CLEAF", Deco!W10)</f>
        <v>DB</v>
      </c>
    </row>
    <row r="11" spans="9:9">
      <c r="I11" t="str">
        <f>IF(ISNUMBER(SEARCH("CLMEL", A11)), "CLEAF", Deco!W11)</f>
        <v>DB</v>
      </c>
    </row>
    <row r="12" spans="9:9">
      <c r="I12" t="str">
        <f>IF(ISNUMBER(SEARCH("CLMEL", A12)), "CLEAF", Deco!W12)</f>
        <v>DB</v>
      </c>
    </row>
    <row r="13" spans="9:9">
      <c r="I13" t="str">
        <f>IF(ISNUMBER(SEARCH("CLMEL", A13)), "CLEAF", Deco!W13)</f>
        <v>DB</v>
      </c>
    </row>
    <row r="14" spans="9:9">
      <c r="I14" t="str">
        <f>IF(ISNUMBER(SEARCH("CLMEL", A14)), "CLEAF", Deco!W14)</f>
        <v>DB</v>
      </c>
    </row>
    <row r="15" spans="9:9">
      <c r="I15" t="str">
        <f>IF(ISNUMBER(SEARCH("CLMEL", A15)), "CLEAF", Deco!W15)</f>
        <v>DB</v>
      </c>
    </row>
    <row r="16" spans="9:9">
      <c r="I16" t="str">
        <f>IF(ISNUMBER(SEARCH("CLMEL", A16)), "CLEAF", Deco!W16)</f>
        <v>DB</v>
      </c>
    </row>
    <row r="17" spans="9:9">
      <c r="I17" t="str">
        <f>IF(ISNUMBER(SEARCH("CLMEL", A17)), "CLEAF", Deco!W17)</f>
        <v>DB</v>
      </c>
    </row>
    <row r="18" spans="9:9">
      <c r="I18" t="str">
        <f>IF(ISNUMBER(SEARCH("CLMEL", A18)), "CLEAF", Deco!W18)</f>
        <v>DB</v>
      </c>
    </row>
    <row r="19" spans="9:9">
      <c r="I19" t="str">
        <f>IF(ISNUMBER(SEARCH("CLMEL", A19)), "CLEAF", Deco!W19)</f>
        <v>DB</v>
      </c>
    </row>
    <row r="20" spans="9:9">
      <c r="I20" t="str">
        <f>IF(ISNUMBER(SEARCH("CLMEL", A20)), "CLEAF", Deco!W20)</f>
        <v>DB</v>
      </c>
    </row>
    <row r="21" spans="9:9">
      <c r="I21" t="str">
        <f>IF(ISNUMBER(SEARCH("CLMEL", A21)), "CLEAF", Deco!W21)</f>
        <v>DB</v>
      </c>
    </row>
    <row r="22" spans="9:9">
      <c r="I22" t="str">
        <f>IF(ISNUMBER(SEARCH("CLMEL", A22)), "CLEAF", Deco!W22)</f>
        <v>DB</v>
      </c>
    </row>
    <row r="23" spans="9:9">
      <c r="I23" t="str">
        <f>IF(ISNUMBER(SEARCH("CLMEL", A23)), "CLEAF", Deco!W23)</f>
        <v>DB</v>
      </c>
    </row>
    <row r="24" spans="9:9">
      <c r="I24" t="str">
        <f>IF(ISNUMBER(SEARCH("CLMEL", A24)), "CLEAF", Deco!W24)</f>
        <v>DB</v>
      </c>
    </row>
    <row r="25" spans="9:9">
      <c r="I25" t="str">
        <f>IF(ISNUMBER(SEARCH("CLMEL", A25)), "CLEAF", Deco!W25)</f>
        <v>DB</v>
      </c>
    </row>
    <row r="26" spans="9:9">
      <c r="I26" t="str">
        <f>IF(ISNUMBER(SEARCH("CLMEL", A26)), "CLEAF", Deco!W26)</f>
        <v>DB</v>
      </c>
    </row>
    <row r="27" spans="9:9">
      <c r="I27" t="str">
        <f>IF(ISNUMBER(SEARCH("CLMEL", A27)), "CLEAF", Deco!W27)</f>
        <v>DB</v>
      </c>
    </row>
    <row r="28" spans="9:9">
      <c r="I28" t="str">
        <f>IF(ISNUMBER(SEARCH("CLMEL", A28)), "CLEAF", Deco!W28)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2026-06-29T07:56:43Z</dcterms:modified>
</cp:coreProperties>
</file>