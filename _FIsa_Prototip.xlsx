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1EE97CF5-5714-4014-B818-422FD170AA8F}" xr6:coauthVersionLast="47" xr6:coauthVersionMax="47" xr10:uidLastSave="{00000000-0000-0000-0000-000000000000}"/>
  <bookViews>
    <workbookView xWindow="-120" yWindow="-120" windowWidth="29040" windowHeight="15720" activeTab="1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6" i="7" l="1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4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25" i="7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AA2" i="9" s="1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V2" i="9" l="1"/>
  <c r="C48" i="6"/>
  <c r="Z24" i="9"/>
  <c r="Z12" i="9"/>
  <c r="Z23" i="9"/>
  <c r="Z11" i="9"/>
  <c r="Z2" i="9"/>
  <c r="Z9" i="9"/>
  <c r="Z8" i="9"/>
  <c r="Z7" i="9"/>
  <c r="R45" i="6" a="1"/>
  <c r="R45" i="6" s="1"/>
  <c r="S45" i="6" s="1"/>
  <c r="Z6" i="9"/>
  <c r="J45" i="6" a="1"/>
  <c r="J45" i="6" s="1"/>
  <c r="K45" i="6" s="1"/>
  <c r="Z5" i="9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C15" i="6" s="1" a="1"/>
  <c r="C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28" i="6" l="1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B109" i="7"/>
  <c r="A116" i="7"/>
  <c r="B116" i="7"/>
  <c r="A130" i="7"/>
  <c r="B130" i="7"/>
  <c r="A137" i="7"/>
  <c r="B137" i="7"/>
  <c r="A31" i="7"/>
  <c r="B31" i="7"/>
  <c r="J26" i="6"/>
  <c r="K26" i="6" s="1"/>
  <c r="A123" i="7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A117" i="7"/>
  <c r="B117" i="7"/>
  <c r="A27" i="7"/>
  <c r="B27" i="7"/>
  <c r="A139" i="7"/>
  <c r="A138" i="7"/>
  <c r="A143" i="7"/>
  <c r="A142" i="7"/>
  <c r="A140" i="7"/>
  <c r="A141" i="7"/>
  <c r="A131" i="7"/>
  <c r="A136" i="7"/>
  <c r="A135" i="7"/>
  <c r="A132" i="7"/>
  <c r="A133" i="7"/>
  <c r="A126" i="7"/>
  <c r="A128" i="7"/>
  <c r="A124" i="7"/>
  <c r="A129" i="7"/>
  <c r="A127" i="7"/>
  <c r="A125" i="7"/>
  <c r="A118" i="7"/>
  <c r="A120" i="7"/>
  <c r="A122" i="7"/>
  <c r="A119" i="7"/>
  <c r="A121" i="7"/>
  <c r="A110" i="7"/>
  <c r="A112" i="7"/>
  <c r="A114" i="7"/>
  <c r="A115" i="7"/>
  <c r="A111" i="7"/>
  <c r="A113" i="7"/>
  <c r="A29" i="7"/>
  <c r="A30" i="7"/>
  <c r="A28" i="7"/>
  <c r="A26" i="7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L21" i="6" l="1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R20" i="6"/>
  <c r="S20" i="6" s="1"/>
  <c r="P19" i="6"/>
  <c r="Q19" i="6" s="1"/>
  <c r="J19" i="6"/>
  <c r="K19" i="6" s="1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P17" i="6"/>
  <c r="Q17" i="6" s="1"/>
  <c r="L17" i="6"/>
  <c r="M17" i="6" s="1"/>
  <c r="H17" i="6"/>
  <c r="I17" i="6" s="1"/>
  <c r="N17" i="6"/>
  <c r="O17" i="6" s="1"/>
  <c r="J17" i="6"/>
  <c r="K17" i="6" s="1"/>
  <c r="R17" i="6"/>
  <c r="S17" i="6" s="1"/>
  <c r="H16" i="6"/>
  <c r="I16" i="6" s="1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B61" i="7"/>
  <c r="D23" i="6" a="1"/>
  <c r="D23" i="6" s="1"/>
  <c r="B47" i="7"/>
  <c r="A96" i="7"/>
  <c r="A101" i="7"/>
  <c r="A97" i="7"/>
  <c r="A98" i="7"/>
  <c r="A99" i="7"/>
  <c r="A100" i="7"/>
  <c r="A94" i="7"/>
  <c r="A91" i="7"/>
  <c r="A92" i="7"/>
  <c r="A89" i="7"/>
  <c r="A93" i="7"/>
  <c r="A90" i="7"/>
  <c r="A83" i="7"/>
  <c r="A86" i="7"/>
  <c r="A84" i="7"/>
  <c r="A87" i="7"/>
  <c r="A82" i="7"/>
  <c r="A85" i="7"/>
  <c r="A77" i="7"/>
  <c r="A75" i="7"/>
  <c r="A79" i="7"/>
  <c r="A80" i="7"/>
  <c r="A76" i="7"/>
  <c r="A78" i="7"/>
  <c r="A73" i="7"/>
  <c r="A69" i="7"/>
  <c r="A70" i="7"/>
  <c r="A71" i="7"/>
  <c r="A68" i="7"/>
  <c r="A72" i="7"/>
  <c r="A62" i="7"/>
  <c r="A65" i="7"/>
  <c r="A64" i="7"/>
  <c r="A66" i="7"/>
  <c r="A63" i="7"/>
  <c r="A55" i="7"/>
  <c r="A58" i="7"/>
  <c r="A59" i="7"/>
  <c r="A54" i="7"/>
  <c r="A57" i="7"/>
  <c r="A56" i="7"/>
  <c r="A50" i="7"/>
  <c r="A51" i="7"/>
  <c r="A48" i="7"/>
  <c r="A49" i="7"/>
  <c r="A52" i="7"/>
  <c r="A47" i="7"/>
  <c r="A43" i="7"/>
  <c r="A42" i="7"/>
  <c r="A45" i="7"/>
  <c r="A40" i="7"/>
  <c r="A41" i="7"/>
  <c r="A44" i="7"/>
  <c r="A33" i="7"/>
  <c r="A35" i="7"/>
  <c r="A37" i="7"/>
  <c r="A36" i="7"/>
  <c r="A34" i="7"/>
  <c r="A38" i="7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B127" i="7"/>
  <c r="B114" i="7"/>
  <c r="B129" i="7"/>
  <c r="B121" i="7"/>
  <c r="B111" i="7"/>
  <c r="B122" i="7"/>
  <c r="B142" i="7"/>
  <c r="B125" i="7"/>
  <c r="B118" i="7"/>
  <c r="B126" i="7"/>
  <c r="B120" i="7"/>
  <c r="A104" i="7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A106" i="7"/>
  <c r="B108" i="7"/>
  <c r="A108" i="7"/>
  <c r="B101" i="7"/>
  <c r="B102" i="7"/>
  <c r="A105" i="7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G41" i="6"/>
  <c r="B195" i="7" s="1"/>
  <c r="B166" i="7"/>
  <c r="A166" i="7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H37" i="6"/>
  <c r="I37" i="6" s="1"/>
  <c r="H38" i="6"/>
  <c r="B180" i="7"/>
  <c r="P34" i="6"/>
  <c r="A145" i="7"/>
  <c r="R36" i="6"/>
  <c r="S36" i="6" s="1"/>
  <c r="R37" i="6"/>
  <c r="S37" i="6" s="1"/>
  <c r="A152" i="7"/>
  <c r="B152" i="7"/>
  <c r="R33" i="6"/>
  <c r="S33" i="6" s="1"/>
  <c r="R34" i="6"/>
  <c r="S34" i="6" s="1"/>
  <c r="R32" i="6"/>
  <c r="S32" i="6" s="1"/>
  <c r="R38" i="6"/>
  <c r="S38" i="6" s="1"/>
  <c r="A157" i="7" l="1"/>
  <c r="Q33" i="6"/>
  <c r="A164" i="7"/>
  <c r="Q34" i="6"/>
  <c r="B164" i="7" s="1"/>
  <c r="A163" i="7"/>
  <c r="O34" i="6"/>
  <c r="B163" i="7" s="1"/>
  <c r="A179" i="7"/>
  <c r="B179" i="7"/>
  <c r="Q36" i="6"/>
  <c r="B171" i="7" s="1"/>
  <c r="A146" i="7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A165" i="7"/>
  <c r="A174" i="7"/>
  <c r="A186" i="7"/>
  <c r="A153" i="7"/>
  <c r="A170" i="7"/>
  <c r="A176" i="7"/>
  <c r="A147" i="7"/>
  <c r="A183" i="7"/>
  <c r="A168" i="7"/>
  <c r="B168" i="7"/>
  <c r="A162" i="7"/>
  <c r="B162" i="7"/>
  <c r="A171" i="7"/>
  <c r="B160" i="7"/>
  <c r="A178" i="7"/>
  <c r="B178" i="7"/>
  <c r="A158" i="7"/>
  <c r="B158" i="7"/>
  <c r="A184" i="7"/>
  <c r="B184" i="7"/>
  <c r="A169" i="7"/>
  <c r="A148" i="7"/>
  <c r="B167" i="7"/>
  <c r="A154" i="7"/>
  <c r="A155" i="7"/>
  <c r="B155" i="7"/>
  <c r="A175" i="7"/>
  <c r="A172" i="7"/>
  <c r="B172" i="7"/>
  <c r="A185" i="7"/>
  <c r="B185" i="7"/>
  <c r="A167" i="7"/>
  <c r="A156" i="7"/>
  <c r="B156" i="7"/>
  <c r="A149" i="7"/>
  <c r="A177" i="7"/>
  <c r="B177" i="7"/>
  <c r="A182" i="7"/>
  <c r="B182" i="7"/>
  <c r="A151" i="7"/>
  <c r="B174" i="7"/>
  <c r="D36" i="8" a="1"/>
  <c r="D36" i="8" s="1"/>
  <c r="A161" i="7"/>
  <c r="B150" i="7"/>
  <c r="A150" i="7"/>
  <c r="A160" i="7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<sst xmlns="http://schemas.openxmlformats.org/spreadsheetml/2006/main" count="205" uniqueCount="118">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</sst>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8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3" fillId="0" borderId="24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zoomScaleNormal="100" workbookViewId="0">
      <selection activeCell="F45" sqref="F4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8" t="s">
        <v>37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30"/>
      <c r="M1" s="38" t="s">
        <v>71</v>
      </c>
      <c r="N1" s="39" t="s">
        <v>65</v>
      </c>
      <c r="O1" s="221" t="s">
        <v>70</v>
      </c>
      <c r="P1" s="222"/>
      <c r="Q1" s="222"/>
      <c r="R1" s="222"/>
      <c r="S1" s="223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4"/>
      <c r="P2" s="225"/>
      <c r="Q2" s="225"/>
      <c r="R2" s="225"/>
      <c r="S2" s="226"/>
    </row>
    <row r="3" spans="1:19">
      <c r="A3" s="20" t="s">
        <v>50</v>
      </c>
      <c r="B3" s="234"/>
      <c r="C3" s="235"/>
      <c r="D3" s="236"/>
      <c r="H3" s="20" t="s">
        <v>60</v>
      </c>
      <c r="I3" s="209"/>
      <c r="J3" s="210"/>
      <c r="K3" s="211"/>
      <c r="M3" s="27">
        <v>2</v>
      </c>
      <c r="N3" s="76"/>
      <c r="O3" s="231"/>
      <c r="P3" s="232"/>
      <c r="Q3" s="232"/>
      <c r="R3" s="232"/>
      <c r="S3" s="233"/>
    </row>
    <row r="4" spans="1:19">
      <c r="A4" s="21" t="s">
        <v>48</v>
      </c>
      <c r="B4" s="215"/>
      <c r="C4" s="216"/>
      <c r="D4" s="217"/>
      <c r="H4" s="21" t="s">
        <v>61</v>
      </c>
      <c r="I4" s="218"/>
      <c r="J4" s="219"/>
      <c r="K4" s="220"/>
      <c r="M4" s="27">
        <v>3</v>
      </c>
      <c r="N4" s="76"/>
      <c r="O4" s="231"/>
      <c r="P4" s="232"/>
      <c r="Q4" s="232"/>
      <c r="R4" s="232"/>
      <c r="S4" s="233"/>
    </row>
    <row r="5" spans="1:19">
      <c r="A5" s="21" t="s">
        <v>49</v>
      </c>
      <c r="B5" s="237"/>
      <c r="C5" s="238"/>
      <c r="D5" s="239"/>
      <c r="H5" s="21" t="s">
        <v>62</v>
      </c>
      <c r="I5" s="240"/>
      <c r="J5" s="232"/>
      <c r="K5" s="233"/>
      <c r="M5" s="27">
        <v>4</v>
      </c>
      <c r="N5" s="76"/>
      <c r="O5" s="231"/>
      <c r="P5" s="232"/>
      <c r="Q5" s="232"/>
      <c r="R5" s="232"/>
      <c r="S5" s="233"/>
    </row>
    <row r="6" spans="1:19" ht="15.75" thickBot="1">
      <c r="A6" s="22" t="s">
        <v>7</v>
      </c>
      <c r="B6" s="191"/>
      <c r="C6" s="192"/>
      <c r="D6" s="193"/>
      <c r="H6" s="22" t="s">
        <v>63</v>
      </c>
      <c r="I6" s="194"/>
      <c r="J6" s="195"/>
      <c r="K6" s="196"/>
      <c r="M6" s="28">
        <v>5</v>
      </c>
      <c r="N6" s="77"/>
      <c r="O6" s="227"/>
      <c r="P6" s="195"/>
      <c r="Q6" s="195"/>
      <c r="R6" s="195"/>
      <c r="S6" s="196"/>
    </row>
    <row r="7" spans="1:19" s="51" customFormat="1" ht="2.1" hidden="1" customHeight="1" thickBot="1"/>
    <row r="8" spans="1:19" ht="15.75" customHeight="1" thickBot="1">
      <c r="A8" s="197" t="s">
        <v>1</v>
      </c>
      <c r="B8" s="198"/>
      <c r="C8" s="198"/>
      <c r="D8" s="199"/>
      <c r="F8" s="203" t="s">
        <v>74</v>
      </c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12"/>
    </row>
    <row r="9" spans="1:19" ht="15.75" thickBot="1">
      <c r="A9" s="200"/>
      <c r="B9" s="201"/>
      <c r="C9" s="201"/>
      <c r="D9" s="202"/>
      <c r="F9" s="249" t="s">
        <v>28</v>
      </c>
      <c r="G9" s="250"/>
      <c r="H9" s="263" t="s">
        <v>29</v>
      </c>
      <c r="I9" s="264"/>
      <c r="J9" s="247" t="s">
        <v>16</v>
      </c>
      <c r="K9" s="248"/>
      <c r="L9" s="213" t="s">
        <v>19</v>
      </c>
      <c r="M9" s="214"/>
      <c r="N9" s="207" t="s">
        <v>82</v>
      </c>
      <c r="O9" s="208"/>
      <c r="P9" s="205" t="s">
        <v>69</v>
      </c>
      <c r="Q9" s="206"/>
      <c r="R9" s="207" t="s">
        <v>18</v>
      </c>
      <c r="S9" s="208"/>
    </row>
    <row r="10" spans="1:19" ht="15.75" thickBot="1">
      <c r="A10" s="25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55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55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55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55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55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55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55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55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55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55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55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56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54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55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55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55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57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54" t="s">
        <v>51</v>
      </c>
      <c r="B40" s="32" t="s">
        <v>68</v>
      </c>
      <c r="C40" s="32" t="s">
        <v>72</v>
      </c>
      <c r="D40" s="18" t="s">
        <v>52</v>
      </c>
      <c r="F40" s="251" t="s">
        <v>73</v>
      </c>
      <c r="G40" s="252"/>
      <c r="H40" s="252"/>
      <c r="I40" s="252"/>
      <c r="J40" s="252"/>
      <c r="K40" s="252"/>
      <c r="L40" s="252"/>
      <c r="M40" s="252"/>
      <c r="N40" s="252"/>
      <c r="O40" s="252"/>
      <c r="P40" s="252"/>
      <c r="Q40" s="252"/>
      <c r="R40" s="252"/>
      <c r="S40" s="253"/>
    </row>
    <row r="41" spans="1:19" ht="15.75" thickBot="1">
      <c r="A41" s="255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55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85">
        <f>IF(COUNTIF(Deco!AA2:AA34,"Vezi EK")&gt;0,0,1)</f>
        <v>1</v>
      </c>
    </row>
    <row r="43" spans="1:19" ht="15.75" thickBot="1">
      <c r="A43" s="255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03" t="str">
        <f>IF(COUNTIF(Deco!AA2:AA34,"Vezi EK")&gt;0,"Atentie! Verifica EK dublaje","Nr. Piese Dublaje")</f>
        <v>Nr. Piese Dublaje</v>
      </c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58"/>
    </row>
    <row r="44" spans="1:19">
      <c r="A44" s="255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55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5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55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185" t="s">
        <v>34</v>
      </c>
      <c r="G47" s="189" t="str">
        <f>IF(I6="PLAN M",SUM(C11:C28), "N/A")</f>
        <v>N/A</v>
      </c>
      <c r="J47" s="185" t="s">
        <v>88</v>
      </c>
      <c r="K47" s="187">
        <v>1</v>
      </c>
      <c r="N47" s="185" t="s">
        <v>110</v>
      </c>
      <c r="O47" s="259"/>
      <c r="P47" s="260"/>
      <c r="R47" s="185" t="s">
        <v>116</v>
      </c>
      <c r="S47" s="185"/>
    </row>
    <row r="48" spans="1:19" ht="15.75" thickBot="1">
      <c r="A48" s="257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186"/>
      <c r="G48" s="190"/>
      <c r="J48" s="186"/>
      <c r="K48" s="188"/>
      <c r="N48" s="258"/>
      <c r="O48" s="261"/>
      <c r="P48" s="262"/>
      <c r="R48" s="258"/>
      <c r="S48" s="186"/>
    </row>
    <row r="49" spans="1:19" ht="2.1" hidden="1" customHeight="1">
      <c r="A49" s="40"/>
      <c r="B49" s="41"/>
      <c r="C49" s="1"/>
      <c r="D49" s="2"/>
    </row>
    <row r="50" spans="1:19">
      <c r="A50" s="241" t="s">
        <v>66</v>
      </c>
      <c r="B50" s="175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7"/>
    </row>
    <row r="51" spans="1:19">
      <c r="A51" s="242"/>
      <c r="B51" s="178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79"/>
    </row>
    <row r="52" spans="1:19">
      <c r="A52" s="242"/>
      <c r="B52" s="178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79"/>
    </row>
    <row r="53" spans="1:19">
      <c r="A53" s="242"/>
      <c r="B53" s="178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79"/>
    </row>
    <row r="54" spans="1:19">
      <c r="A54" s="242"/>
      <c r="B54" s="178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79"/>
    </row>
    <row r="55" spans="1:19">
      <c r="A55" s="242"/>
      <c r="B55" s="178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79"/>
    </row>
    <row r="56" spans="1:19">
      <c r="A56" s="242"/>
      <c r="B56" s="178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79"/>
    </row>
    <row r="57" spans="1:19">
      <c r="A57" s="242"/>
      <c r="B57" s="178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79"/>
    </row>
    <row r="58" spans="1:19">
      <c r="A58" s="242"/>
      <c r="B58" s="181"/>
      <c r="S58" s="182"/>
    </row>
    <row r="59" spans="1:19">
      <c r="A59" s="242"/>
      <c r="B59" s="181"/>
      <c r="S59" s="182"/>
    </row>
    <row r="60" spans="1:19">
      <c r="A60" s="242"/>
      <c r="B60" s="181"/>
      <c r="S60" s="182"/>
    </row>
    <row r="61" spans="1:19">
      <c r="A61" s="242"/>
      <c r="B61" s="181"/>
      <c r="S61" s="182"/>
    </row>
    <row r="62" spans="1:19">
      <c r="A62" s="242"/>
      <c r="B62" s="181"/>
      <c r="S62" s="182"/>
    </row>
    <row r="63" spans="1:19">
      <c r="A63" s="242"/>
      <c r="B63" s="181"/>
      <c r="S63" s="182"/>
    </row>
    <row r="64" spans="1:19">
      <c r="A64" s="242"/>
      <c r="B64" s="181"/>
      <c r="S64" s="182"/>
    </row>
    <row r="65" spans="1:19">
      <c r="A65" s="242"/>
      <c r="B65" s="181"/>
      <c r="S65" s="182"/>
    </row>
    <row r="66" spans="1:19">
      <c r="A66" s="242"/>
      <c r="B66" s="181"/>
      <c r="S66" s="182"/>
    </row>
    <row r="67" spans="1:19">
      <c r="A67" s="242"/>
      <c r="B67" s="181"/>
      <c r="S67" s="182"/>
    </row>
    <row r="68" spans="1:19" ht="15.75" thickBot="1">
      <c r="A68" s="243"/>
      <c r="B68" s="183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4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F8:S8"/>
    <mergeCell ref="R9:S9"/>
    <mergeCell ref="L9:M9"/>
    <mergeCell ref="B4:D4"/>
    <mergeCell ref="I4:K4"/>
    <mergeCell ref="J47:J48"/>
    <mergeCell ref="K47:K48"/>
    <mergeCell ref="G47:G48"/>
    <mergeCell ref="B6:D6"/>
    <mergeCell ref="I6:K6"/>
    <mergeCell ref="A8:D9"/>
    <mergeCell ref="F43:R43"/>
    <mergeCell ref="P9:Q9"/>
    <mergeCell ref="N9:O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abSelected="1" workbookViewId="0">
      <selection activeCell="D123" sqref="D123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53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92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93</v>
      </c>
      <c r="B199">
        <f>Fisa!O41</f>
        <v>0</v>
      </c>
      <c r="D199" t="str">
        <f t="shared" si="7"/>
        <v>Cant 43/1</v>
      </c>
    </row>
    <row r="200" spans="1:4">
      <c r="A200" t="s">
        <v>75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5" t="s">
        <v>14</v>
      </c>
      <c r="B1" s="265"/>
      <c r="C1" s="265"/>
      <c r="D1" s="265"/>
      <c r="E1" s="265"/>
      <c r="F1" s="265"/>
      <c r="G1" s="265"/>
      <c r="H1" s="265"/>
      <c r="I1" s="265"/>
      <c r="J1" s="265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6">
        <f>Fisa!B3:D3</f>
        <v>0</v>
      </c>
      <c r="C3" s="266"/>
      <c r="D3" s="266"/>
      <c r="E3" s="266"/>
      <c r="F3" s="266"/>
      <c r="G3" s="266"/>
      <c r="H3" s="5"/>
      <c r="I3" s="5"/>
      <c r="J3" s="5"/>
      <c r="K3" s="5"/>
      <c r="L3" s="5"/>
    </row>
    <row r="4" spans="1:12" customFormat="1">
      <c r="A4" s="6" t="s">
        <v>7</v>
      </c>
      <c r="B4" s="267">
        <f>Fisa!B6</f>
        <v>0</v>
      </c>
      <c r="C4" s="267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A2" sqref="A2:Q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2026-07-10T09:57:58Z</dcterms:modified>
</cp:coreProperties>
</file>