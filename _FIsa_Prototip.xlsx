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1381977B-B19A-4848-A5B1-C7268D8C462C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8" i="6" l="1" a="1"/>
  <c r="R38" i="6" s="1"/>
  <c r="R37" i="6" a="1"/>
  <c r="R37" i="6" s="1"/>
  <c r="R36" i="6" a="1"/>
  <c r="R36" i="6" s="1"/>
  <c r="R34" i="6" a="1"/>
  <c r="R34" i="6" s="1"/>
  <c r="R33" i="6" a="1"/>
  <c r="R33" i="6" s="1"/>
  <c r="R32" i="6" a="1"/>
  <c r="R32" i="6" s="1"/>
  <c r="R28" i="6" a="1"/>
  <c r="R28" i="6" s="1"/>
  <c r="R27" i="6" a="1"/>
  <c r="R27" i="6" s="1"/>
  <c r="R26" i="6" a="1"/>
  <c r="R26" i="6" s="1"/>
  <c r="R25" i="6" a="1"/>
  <c r="R25" i="6" s="1"/>
  <c r="R24" i="6" a="1"/>
  <c r="R24" i="6" s="1"/>
  <c r="R13" i="6" a="1"/>
  <c r="R13" i="6" s="1"/>
  <c r="R12" i="6" a="1"/>
  <c r="R12" i="6" s="1"/>
  <c r="R11" i="6" a="1"/>
  <c r="R11" i="6" s="1"/>
  <c r="N38" i="6" a="1"/>
  <c r="N38" i="6" s="1"/>
  <c r="N37" i="6" a="1"/>
  <c r="N37" i="6" s="1"/>
  <c r="N36" i="6" a="1"/>
  <c r="N36" i="6" s="1"/>
  <c r="N34" i="6" a="1"/>
  <c r="N34" i="6" s="1"/>
  <c r="N33" i="6" a="1"/>
  <c r="N33" i="6" s="1"/>
  <c r="N32" i="6" a="1"/>
  <c r="N32" i="6" s="1"/>
  <c r="N26" i="6" a="1"/>
  <c r="N26" i="6" s="1"/>
  <c r="N25" i="6" a="1"/>
  <c r="N25" i="6" s="1"/>
  <c r="N24" i="6" a="1"/>
  <c r="N24" i="6" s="1"/>
  <c r="N14" i="6" a="1"/>
  <c r="N14" i="6" s="1"/>
  <c r="N13" i="6" a="1"/>
  <c r="N13" i="6" s="1"/>
  <c r="N12" i="6" a="1"/>
  <c r="N12" i="6" s="1"/>
  <c r="N11" i="6" a="1"/>
  <c r="N11" i="6" s="1"/>
  <c r="L38" i="6" a="1"/>
  <c r="L38" i="6" s="1"/>
  <c r="L37" i="6" a="1"/>
  <c r="L37" i="6" s="1"/>
  <c r="L36" i="6" a="1"/>
  <c r="L36" i="6" s="1"/>
  <c r="L34" i="6" a="1"/>
  <c r="L34" i="6" s="1"/>
  <c r="L33" i="6" a="1"/>
  <c r="L33" i="6" s="1"/>
  <c r="L32" i="6" a="1"/>
  <c r="L32" i="6" s="1"/>
  <c r="L13" i="6" a="1"/>
  <c r="L13" i="6" s="1"/>
  <c r="L12" i="6" a="1"/>
  <c r="L12" i="6" s="1"/>
  <c r="L11" i="6" a="1"/>
  <c r="L11" i="6" s="1"/>
  <c r="J13" i="6" a="1"/>
  <c r="J13" i="6" s="1"/>
  <c r="J12" i="6" a="1"/>
  <c r="J12" i="6" s="1"/>
  <c r="J11" i="6" a="1"/>
  <c r="J11" i="6" s="1"/>
  <c r="H24" i="6" a="1"/>
  <c r="H24" i="6" s="1"/>
  <c r="H13" i="6" a="1"/>
  <c r="H13" i="6" s="1"/>
  <c r="H12" i="6" a="1"/>
  <c r="H12" i="6" s="1"/>
  <c r="H11" i="6" a="1"/>
  <c r="H11" i="6" s="1"/>
  <c r="P24" i="6" a="1"/>
  <c r="P24" i="6" s="1"/>
  <c r="P13" i="6" a="1"/>
  <c r="P13" i="6" s="1"/>
  <c r="P12" i="6" a="1"/>
  <c r="P12" i="6" s="1"/>
  <c r="P11" i="6" a="1"/>
  <c r="P11" i="6" s="1"/>
  <c r="F12" i="6" a="1"/>
  <c r="F12" i="6" s="1"/>
  <c r="F11" i="6" a="1"/>
  <c r="F11" i="6" s="1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4" i="6" l="1" a="1"/>
  <c r="R14" i="6" s="1"/>
  <c r="N27" i="6" a="1"/>
  <c r="N27" i="6" s="1"/>
  <c r="N28" i="6" s="1" a="1"/>
  <c r="N28" i="6" s="1"/>
  <c r="N15" i="6" a="1"/>
  <c r="N15" i="6" s="1"/>
  <c r="P25" i="6" a="1"/>
  <c r="P25" i="6" s="1"/>
  <c r="H25" i="6" a="1"/>
  <c r="H25" i="6" s="1"/>
  <c r="F24" i="6" a="1"/>
  <c r="F24" i="6" s="1"/>
  <c r="L14" i="6" a="1"/>
  <c r="L14" i="6" s="1"/>
  <c r="L15" i="6" a="1"/>
  <c r="L15" i="6" s="1"/>
  <c r="J14" i="6" a="1"/>
  <c r="J14" i="6" s="1"/>
  <c r="J15" i="6" a="1"/>
  <c r="J15" i="6" s="1"/>
  <c r="H14" i="6" a="1"/>
  <c r="H14" i="6" s="1"/>
  <c r="P14" i="6" a="1"/>
  <c r="P1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R15" i="6" l="1" a="1"/>
  <c r="R15" i="6" s="1"/>
  <c r="N16" i="6" a="1"/>
  <c r="N16" i="6" s="1"/>
  <c r="F25" i="6" a="1"/>
  <c r="F25" i="6" s="1"/>
  <c r="P26" i="6" a="1"/>
  <c r="P26" i="6" s="1"/>
  <c r="H26" i="6" a="1"/>
  <c r="H26" i="6" s="1"/>
  <c r="L16" i="6" a="1"/>
  <c r="L16" i="6" s="1"/>
  <c r="J16" i="6" a="1"/>
  <c r="J16" i="6" s="1"/>
  <c r="J18" i="6" s="1" a="1"/>
  <c r="J18" i="6" s="1"/>
  <c r="J17" i="6" a="1"/>
  <c r="J17" i="6" s="1"/>
  <c r="H15" i="6" a="1"/>
  <c r="H15" i="6" s="1"/>
  <c r="P15" i="6" a="1"/>
  <c r="P1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R16" i="6" l="1" a="1"/>
  <c r="R16" i="6" s="1"/>
  <c r="N17" i="6" a="1"/>
  <c r="N17" i="6" s="1"/>
  <c r="N18" i="6" s="1" a="1"/>
  <c r="N18" i="6" s="1"/>
  <c r="H27" i="6" a="1"/>
  <c r="H27" i="6" s="1"/>
  <c r="F26" i="6" a="1"/>
  <c r="F26" i="6" s="1"/>
  <c r="F27" i="6" s="1" a="1"/>
  <c r="F27" i="6" s="1"/>
  <c r="F28" i="6" s="1" a="1"/>
  <c r="F28" i="6" s="1"/>
  <c r="P27" i="6" a="1"/>
  <c r="P27" i="6" s="1"/>
  <c r="P28" i="6" s="1" a="1"/>
  <c r="P28" i="6" s="1"/>
  <c r="L17" i="6" a="1"/>
  <c r="L17" i="6" s="1"/>
  <c r="J19" i="6" a="1"/>
  <c r="J19" i="6" s="1"/>
  <c r="J20" i="6" s="1" a="1"/>
  <c r="J20" i="6" s="1"/>
  <c r="H16" i="6" a="1"/>
  <c r="H16" i="6" s="1"/>
  <c r="H17" i="6" s="1" a="1"/>
  <c r="H17" i="6" s="1"/>
  <c r="P16" i="6" a="1"/>
  <c r="P16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R17" i="6" l="1" a="1"/>
  <c r="R17" i="6" s="1"/>
  <c r="R18" i="6" s="1" a="1"/>
  <c r="R18" i="6" s="1"/>
  <c r="R19" i="6" s="1" a="1"/>
  <c r="R19" i="6" s="1"/>
  <c r="N19" i="6" a="1"/>
  <c r="N19" i="6" s="1"/>
  <c r="N20" i="6" s="1" a="1"/>
  <c r="N20" i="6" s="1"/>
  <c r="N21" i="6" s="1" a="1"/>
  <c r="N21" i="6" s="1"/>
  <c r="F32" i="6" a="1"/>
  <c r="F32" i="6" s="1"/>
  <c r="F33" i="6" s="1" a="1"/>
  <c r="F33" i="6" s="1"/>
  <c r="H28" i="6" a="1"/>
  <c r="H28" i="6" s="1"/>
  <c r="P32" i="6" a="1"/>
  <c r="P32" i="6" s="1"/>
  <c r="L18" i="6" a="1"/>
  <c r="L18" i="6" s="1"/>
  <c r="J21" i="6" a="1"/>
  <c r="J21" i="6" s="1"/>
  <c r="H18" i="6" a="1"/>
  <c r="H18" i="6" s="1"/>
  <c r="H19" i="6" s="1" a="1"/>
  <c r="H19" i="6" s="1"/>
  <c r="H20" i="6" s="1" a="1"/>
  <c r="H20" i="6" s="1"/>
  <c r="P17" i="6" a="1"/>
  <c r="P17" i="6" s="1"/>
  <c r="F16" i="6" a="1"/>
  <c r="F16" i="6" s="1"/>
  <c r="F17" i="6" s="1" a="1"/>
  <c r="F17" i="6" s="1"/>
  <c r="F18" i="6" s="1" a="1"/>
  <c r="F18" i="6" s="1"/>
  <c r="F19" i="6" s="1" a="1"/>
  <c r="F19" i="6" s="1"/>
  <c r="C47" i="6"/>
  <c r="C42" i="6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R20" i="6" l="1" a="1"/>
  <c r="R20" i="6" s="1"/>
  <c r="R21" i="6" s="1" a="1"/>
  <c r="R21" i="6" s="1"/>
  <c r="R22" i="6" s="1" a="1"/>
  <c r="R22" i="6" s="1"/>
  <c r="N22" i="6" a="1"/>
  <c r="N22" i="6" s="1"/>
  <c r="F34" i="6" a="1"/>
  <c r="F34" i="6" s="1"/>
  <c r="F36" i="6" s="1" a="1"/>
  <c r="F36" i="6" s="1"/>
  <c r="F37" i="6" s="1" a="1"/>
  <c r="F37" i="6" s="1"/>
  <c r="F38" i="6" s="1" a="1"/>
  <c r="F38" i="6" s="1"/>
  <c r="P33" i="6" a="1"/>
  <c r="P33" i="6" s="1"/>
  <c r="P34" i="6" s="1" a="1"/>
  <c r="P34" i="6" s="1"/>
  <c r="P36" i="6" s="1" a="1"/>
  <c r="P36" i="6" s="1"/>
  <c r="P37" i="6" s="1" a="1"/>
  <c r="P37" i="6" s="1"/>
  <c r="P38" i="6" s="1" a="1"/>
  <c r="P38" i="6" s="1"/>
  <c r="H32" i="6" a="1"/>
  <c r="H32" i="6" s="1"/>
  <c r="L19" i="6" a="1"/>
  <c r="L19" i="6" s="1"/>
  <c r="L20" i="6" s="1" a="1"/>
  <c r="L20" i="6" s="1"/>
  <c r="L21" i="6" s="1" a="1"/>
  <c r="L21" i="6" s="1"/>
  <c r="L22" i="6" s="1" a="1"/>
  <c r="L22" i="6" s="1"/>
  <c r="L24" i="6" s="1" a="1"/>
  <c r="L24" i="6" s="1"/>
  <c r="J22" i="6" a="1"/>
  <c r="J22" i="6" s="1"/>
  <c r="J23" i="6" s="1" a="1"/>
  <c r="J23" i="6" s="1"/>
  <c r="J24" i="6" s="1" a="1"/>
  <c r="J24" i="6" s="1"/>
  <c r="H21" i="6" a="1"/>
  <c r="H21" i="6" s="1"/>
  <c r="H22" i="6" s="1" a="1"/>
  <c r="H22" i="6" s="1"/>
  <c r="P18" i="6" a="1"/>
  <c r="P18" i="6" s="1"/>
  <c r="P19" i="6" s="1" a="1"/>
  <c r="P19" i="6" s="1"/>
  <c r="P20" i="6" s="1" a="1"/>
  <c r="P20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J25" i="6" l="1" a="1"/>
  <c r="J25" i="6" s="1"/>
  <c r="H33" i="6" a="1"/>
  <c r="H33" i="6" s="1"/>
  <c r="H34" i="6" s="1" a="1"/>
  <c r="H34" i="6" s="1"/>
  <c r="H36" i="6" s="1" a="1"/>
  <c r="H36" i="6" s="1"/>
  <c r="H37" i="6" s="1" a="1"/>
  <c r="H37" i="6" s="1"/>
  <c r="H38" i="6" s="1" a="1"/>
  <c r="H38" i="6" s="1"/>
  <c r="L25" i="6" a="1"/>
  <c r="L25" i="6" s="1"/>
  <c r="L26" i="6" s="1" a="1"/>
  <c r="L26" i="6" s="1"/>
  <c r="L27" i="6" s="1" a="1"/>
  <c r="L27" i="6" s="1"/>
  <c r="L28" i="6" s="1" a="1"/>
  <c r="L28" i="6" s="1"/>
  <c r="P21" i="6" a="1"/>
  <c r="P21" i="6" s="1"/>
  <c r="P22" i="6" s="1" a="1"/>
  <c r="P22" i="6" s="1"/>
  <c r="C43" i="6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J26" i="6" l="1" a="1"/>
  <c r="J26" i="6" s="1"/>
  <c r="J27" i="6" s="1" a="1"/>
  <c r="J27" i="6" s="1"/>
  <c r="J28" i="6" s="1" a="1"/>
  <c r="J28" i="6" s="1"/>
  <c r="G34" i="6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J32" i="6" l="1" a="1"/>
  <c r="J32" i="6" s="1"/>
  <c r="D45" i="6"/>
  <c r="J33" i="6" l="1" a="1"/>
  <c r="J33" i="6" s="1"/>
  <c r="J34" i="6" s="1" a="1"/>
  <c r="J34" i="6" s="1"/>
  <c r="A25" i="7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J36" i="6" l="1" a="1"/>
  <c r="J36" i="6" s="1"/>
  <c r="J37" i="6" s="1" a="1"/>
  <c r="J37" i="6" s="1"/>
  <c r="J38" i="6" s="1" a="1"/>
  <c r="J38" i="6" s="1"/>
  <c r="A109" i="7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D27" i="7"/>
  <c r="A27" i="7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<sst xmlns="http://schemas.openxmlformats.org/spreadsheetml/2006/main" count="204" uniqueCount="117">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</sst>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3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8" borderId="56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2" zoomScaleNormal="100" workbookViewId="0">
      <selection activeCell="P12" sqref="P12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9" t="s">
        <v>36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1"/>
      <c r="M1" s="38" t="s">
        <v>70</v>
      </c>
      <c r="N1" s="39" t="s">
        <v>64</v>
      </c>
      <c r="O1" s="220" t="s">
        <v>69</v>
      </c>
      <c r="P1" s="221"/>
      <c r="Q1" s="221"/>
      <c r="R1" s="221"/>
      <c r="S1" s="222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3"/>
      <c r="P2" s="224"/>
      <c r="Q2" s="224"/>
      <c r="R2" s="224"/>
      <c r="S2" s="225"/>
    </row>
    <row r="3" spans="1:19">
      <c r="A3" s="20" t="s">
        <v>49</v>
      </c>
      <c r="B3" s="235"/>
      <c r="C3" s="236"/>
      <c r="D3" s="237"/>
      <c r="H3" s="20" t="s">
        <v>59</v>
      </c>
      <c r="I3" s="242"/>
      <c r="J3" s="243"/>
      <c r="K3" s="244"/>
      <c r="M3" s="27">
        <v>2</v>
      </c>
      <c r="N3" s="76"/>
      <c r="O3" s="232"/>
      <c r="P3" s="233"/>
      <c r="Q3" s="233"/>
      <c r="R3" s="233"/>
      <c r="S3" s="234"/>
    </row>
    <row r="4" spans="1:19">
      <c r="A4" s="21" t="s">
        <v>47</v>
      </c>
      <c r="B4" s="214"/>
      <c r="C4" s="215"/>
      <c r="D4" s="216"/>
      <c r="H4" s="21" t="s">
        <v>60</v>
      </c>
      <c r="I4" s="217"/>
      <c r="J4" s="218"/>
      <c r="K4" s="219"/>
      <c r="M4" s="27">
        <v>3</v>
      </c>
      <c r="N4" s="76"/>
      <c r="O4" s="232"/>
      <c r="P4" s="233"/>
      <c r="Q4" s="233"/>
      <c r="R4" s="233"/>
      <c r="S4" s="234"/>
    </row>
    <row r="5" spans="1:19">
      <c r="A5" s="21" t="s">
        <v>48</v>
      </c>
      <c r="B5" s="238"/>
      <c r="C5" s="239"/>
      <c r="D5" s="240"/>
      <c r="H5" s="21" t="s">
        <v>61</v>
      </c>
      <c r="I5" s="241"/>
      <c r="J5" s="233"/>
      <c r="K5" s="234"/>
      <c r="M5" s="27">
        <v>4</v>
      </c>
      <c r="N5" s="76"/>
      <c r="O5" s="232"/>
      <c r="P5" s="233"/>
      <c r="Q5" s="233"/>
      <c r="R5" s="233"/>
      <c r="S5" s="234"/>
    </row>
    <row r="6" spans="1:19" ht="15.75" thickBot="1">
      <c r="A6" s="22" t="s">
        <v>7</v>
      </c>
      <c r="B6" s="249"/>
      <c r="C6" s="250"/>
      <c r="D6" s="251"/>
      <c r="H6" s="22" t="s">
        <v>62</v>
      </c>
      <c r="I6" s="252"/>
      <c r="J6" s="227"/>
      <c r="K6" s="228"/>
      <c r="M6" s="28">
        <v>5</v>
      </c>
      <c r="N6" s="77"/>
      <c r="O6" s="226"/>
      <c r="P6" s="227"/>
      <c r="Q6" s="227"/>
      <c r="R6" s="227"/>
      <c r="S6" s="228"/>
    </row>
    <row r="7" spans="1:19" s="51" customFormat="1" ht="2.1" hidden="1" customHeight="1" thickBot="1"/>
    <row r="8" spans="1:19" ht="15.75" customHeight="1" thickBot="1">
      <c r="A8" s="253" t="s">
        <v>1</v>
      </c>
      <c r="B8" s="254"/>
      <c r="C8" s="254"/>
      <c r="D8" s="255"/>
      <c r="F8" s="259" t="s">
        <v>73</v>
      </c>
      <c r="G8" s="260"/>
      <c r="H8" s="260"/>
      <c r="I8" s="260"/>
      <c r="J8" s="260"/>
      <c r="K8" s="260"/>
      <c r="L8" s="260"/>
      <c r="M8" s="260"/>
      <c r="N8" s="260"/>
      <c r="O8" s="260"/>
      <c r="P8" s="260"/>
      <c r="Q8" s="260"/>
      <c r="R8" s="260"/>
      <c r="S8" s="265"/>
    </row>
    <row r="9" spans="1:19" ht="15.75" thickBot="1">
      <c r="A9" s="256"/>
      <c r="B9" s="257"/>
      <c r="C9" s="257"/>
      <c r="D9" s="258"/>
      <c r="F9" s="196" t="s">
        <v>28</v>
      </c>
      <c r="G9" s="197"/>
      <c r="H9" s="212" t="s">
        <v>29</v>
      </c>
      <c r="I9" s="213"/>
      <c r="J9" s="194" t="s">
        <v>16</v>
      </c>
      <c r="K9" s="195"/>
      <c r="L9" s="266" t="s">
        <v>19</v>
      </c>
      <c r="M9" s="267"/>
      <c r="N9" s="263" t="s">
        <v>81</v>
      </c>
      <c r="O9" s="264"/>
      <c r="P9" s="261" t="s">
        <v>68</v>
      </c>
      <c r="Q9" s="262"/>
      <c r="R9" s="263" t="s">
        <v>18</v>
      </c>
      <c r="S9" s="264"/>
    </row>
    <row r="10" spans="1:19" ht="15.75" thickBot="1">
      <c r="A10" s="201" t="s">
        <v>9</v>
      </c>
      <c r="B10" s="23" t="s">
        <v>63</v>
      </c>
      <c r="C10" s="23" t="s">
        <v>71</v>
      </c>
      <c r="D10" s="23" t="s">
        <v>51</v>
      </c>
      <c r="E10" s="2"/>
      <c r="F10" s="84" t="s">
        <v>63</v>
      </c>
      <c r="G10" s="84" t="s">
        <v>71</v>
      </c>
      <c r="H10" s="96" t="s">
        <v>63</v>
      </c>
      <c r="I10" s="96" t="s">
        <v>71</v>
      </c>
      <c r="J10" s="106" t="s">
        <v>63</v>
      </c>
      <c r="K10" s="106" t="s">
        <v>71</v>
      </c>
      <c r="L10" s="115" t="s">
        <v>63</v>
      </c>
      <c r="M10" s="115" t="s">
        <v>71</v>
      </c>
      <c r="N10" s="23" t="s">
        <v>63</v>
      </c>
      <c r="O10" s="23" t="s">
        <v>71</v>
      </c>
      <c r="P10" s="23" t="s">
        <v>63</v>
      </c>
      <c r="Q10" s="45" t="s">
        <v>71</v>
      </c>
      <c r="R10" s="23" t="s">
        <v>63</v>
      </c>
      <c r="S10" s="23" t="s">
        <v>71</v>
      </c>
    </row>
    <row r="11" spans="1:19">
      <c r="A11" s="202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 cm="1">
        <f t="array" ref="F11">IFERROR(INDEX(Cant!$M$2:$M$99,_xlfn.AGGREGATE(15,6,(ROW(Cant!$M$2:$M$99)-ROW(Cant!$M$2)+1)/((Cant!$M$2:$M$99&lt;&gt;"")*(COUNTIF($F$10:F10,Cant!$M$2:$M$99)=0)),1)),"")</f>
        <v/>
      </c>
      <c r="G11" s="135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97" t="str" cm="1">
        <f t="array" ref="H11">IFERROR(INDEX(Cant!$M$2:$M$99,_xlfn.AGGREGATE(15,6,(ROW(Cant!$M$2:$M$99)-ROW(Cant!$M$2)+1)/((Cant!$M$2:$M$99&lt;&gt;"")*(Cant!$J$2:$J$99="43/1.5")*(COUNTIF($H$10:H10,Cant!$M$2:$M$99)=0)),1)),"")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 cm="1">
        <f t="array" ref="J11">IFERROR(INDEX(Cant!$M$2:$M$99,_xlfn.AGGREGATE(15,6,(ROW(Cant!$M$2:$M$99)-ROW(Cant!$M$2)+1)/((Cant!$M$2:$M$99&lt;&gt;"")*(Cant!$J$2:$J$99="43/1.5")*(COUNTIF($J$10:J10,Cant!$M$2:$M$99)=0)),1)),"")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 cm="1">
        <f t="array" ref="L11">IFERROR(INDEX(Cant!$M$2:$M$99,_xlfn.AGGREGATE(15,6,(ROW(Cant!$M$2:$M$99)-ROW(Cant!$M$2)+1)/((Cant!$M$2:$M$99&lt;&gt;"")*(Cant!$J$2:$J$99="43/1.5")*(COUNTIF($L$10:L10,Cant!$M$2:$M$99)=0)),1)),"")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 cm="1">
        <f t="array" ref="N11">IFERROR(INDEX(Cant!$M$2:$M$99,_xlfn.AGGREGATE(15,6,(ROW(Cant!$M$2:$M$99)-ROW(Cant!$M$2)+1)/((Cant!$M$2:$M$99&lt;&gt;"")*(Cant!$J$2:$J$99="43/1.5")*(COUNTIF($N$10:N10,Cant!$M$2:$M$99)=0)),1)),"")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 cm="1">
        <f t="array" ref="P11">IFERROR(INDEX(Cant!$M$2:$M$99,_xlfn.AGGREGATE(15,6,(ROW(Cant!$M$2:$M$99)-ROW(Cant!$M$2)+1)/((Cant!$M$2:$M$99&lt;&gt;"")*(Cant!$J$2:$J$99="43/1.5")*(COUNTIF($P$10:P10,Cant!$M$2:$M$99)=0)),1)),"")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 cm="1">
        <f t="array" ref="R11">IFERROR(INDEX(Cant!$M$2:$M$99,_xlfn.AGGREGATE(15,6,(ROW(Cant!$M$2:$M$99)-ROW(Cant!$M$2)+1)/((Cant!$M$2:$M$99&lt;&gt;"")*(Cant!$J$2:$J$99="43/1.5")*(COUNTIF($R$10:R10,Cant!$M$2:$M$99)=0)),1)),"")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02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 cm="1">
        <f t="array" ref="F12">IFERROR(INDEX(Cant!$M$2:$M$99,_xlfn.AGGREGATE(15,6,(ROW(Cant!$M$2:$M$99)-ROW(Cant!$M$2)+1)/((Cant!$M$2:$M$99&lt;&gt;"")*(COUNTIF($F$10:F11,Cant!$M$2:$M$99)=0)),1)),"")</f>
        <v/>
      </c>
      <c r="G12" s="135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98" t="str" cm="1">
        <f t="array" ref="H12">IFERROR(INDEX(Cant!$M$2:$M$99,_xlfn.AGGREGATE(15,6,(ROW(Cant!$M$2:$M$99)-ROW(Cant!$M$2)+1)/((Cant!$M$2:$M$99&lt;&gt;"")*(Cant!$J$2:$J$99="43/1.5")*(COUNTIF($H$10:H11,Cant!$M$2:$M$99)=0)),1)),"")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 cm="1">
        <f t="array" ref="J12">IFERROR(INDEX(Cant!$M$2:$M$99,_xlfn.AGGREGATE(15,6,(ROW(Cant!$M$2:$M$99)-ROW(Cant!$M$2)+1)/((Cant!$M$2:$M$99&lt;&gt;"")*(Cant!$J$2:$J$99="43/1.5")*(COUNTIF($J$10:J11,Cant!$M$2:$M$99)=0)),1)),"")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 cm="1">
        <f t="array" ref="L12">IFERROR(INDEX(Cant!$M$2:$M$99,_xlfn.AGGREGATE(15,6,(ROW(Cant!$M$2:$M$99)-ROW(Cant!$M$2)+1)/((Cant!$M$2:$M$99&lt;&gt;"")*(Cant!$J$2:$J$99="43/1.5")*(COUNTIF($L$10:L11,Cant!$M$2:$M$99)=0)),1)),"")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 cm="1">
        <f t="array" ref="N12">IFERROR(INDEX(Cant!$M$2:$M$99,_xlfn.AGGREGATE(15,6,(ROW(Cant!$M$2:$M$99)-ROW(Cant!$M$2)+1)/((Cant!$M$2:$M$99&lt;&gt;"")*(Cant!$J$2:$J$99="43/1.5")*(COUNTIF($N$10:N11,Cant!$M$2:$M$99)=0)),1)),"")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 cm="1">
        <f t="array" ref="P12">IFERROR(INDEX(Cant!$M$2:$M$99,_xlfn.AGGREGATE(15,6,(ROW(Cant!$M$2:$M$99)-ROW(Cant!$M$2)+1)/((Cant!$M$2:$M$99&lt;&gt;"")*(Cant!$J$2:$J$99="43/1.5")*(COUNTIF($P$10:P11,Cant!$M$2:$M$99)=0)),1)),"")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 cm="1">
        <f t="array" ref="R12">IFERROR(INDEX(Cant!$M$2:$M$99,_xlfn.AGGREGATE(15,6,(ROW(Cant!$M$2:$M$99)-ROW(Cant!$M$2)+1)/((Cant!$M$2:$M$99&lt;&gt;"")*(Cant!$J$2:$J$99="43/1.5")*(COUNTIF($R$10:R11,Cant!$M$2:$M$99)=0)),1)),"")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02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 cm="1">
        <f t="array" ref="F13">IFERROR(INDEX(Cant!$M$2:$M$99,_xlfn.AGGREGATE(15,6,(ROW(Cant!$M$2:$M$99)-ROW(Cant!$M$2)+1)/((Cant!$M$2:$M$99&lt;&gt;"")*(COUNTIF($F$10:F12,Cant!$M$2:$M$99)=0)),1)),"")</f>
        <v/>
      </c>
      <c r="G13" s="135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98" t="str" cm="1">
        <f t="array" ref="H13">IFERROR(INDEX(Cant!$M$2:$M$99,_xlfn.AGGREGATE(15,6,(ROW(Cant!$M$2:$M$99)-ROW(Cant!$M$2)+1)/((Cant!$M$2:$M$99&lt;&gt;"")*(Cant!$J$2:$J$99="43/1.5")*(COUNTIF($H$10:H12,Cant!$M$2:$M$99)=0)),1)),"")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 cm="1">
        <f t="array" ref="J13">IFERROR(INDEX(Cant!$M$2:$M$99,_xlfn.AGGREGATE(15,6,(ROW(Cant!$M$2:$M$99)-ROW(Cant!$M$2)+1)/((Cant!$M$2:$M$99&lt;&gt;"")*(Cant!$J$2:$J$99="43/1.5")*(COUNTIF($J$10:J12,Cant!$M$2:$M$99)=0)),1)),"")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 cm="1">
        <f t="array" ref="L13">IFERROR(INDEX(Cant!$M$2:$M$99,_xlfn.AGGREGATE(15,6,(ROW(Cant!$M$2:$M$99)-ROW(Cant!$M$2)+1)/((Cant!$M$2:$M$99&lt;&gt;"")*(Cant!$J$2:$J$99="43/1.5")*(COUNTIF($L$10:L12,Cant!$M$2:$M$99)=0)),1)),"")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 cm="1">
        <f t="array" ref="N13">IFERROR(INDEX(Cant!$M$2:$M$99,_xlfn.AGGREGATE(15,6,(ROW(Cant!$M$2:$M$99)-ROW(Cant!$M$2)+1)/((Cant!$M$2:$M$99&lt;&gt;"")*(Cant!$J$2:$J$99="43/1.5")*(COUNTIF($N$10:N12,Cant!$M$2:$M$99)=0)),1)),"")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 cm="1">
        <f t="array" ref="P13">IFERROR(INDEX(Cant!$M$2:$M$99,_xlfn.AGGREGATE(15,6,(ROW(Cant!$M$2:$M$99)-ROW(Cant!$M$2)+1)/((Cant!$M$2:$M$99&lt;&gt;"")*(Cant!$J$2:$J$99="43/1.5")*(COUNTIF($P$10:P12,Cant!$M$2:$M$99)=0)),1)),"")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 cm="1">
        <f t="array" ref="R13">IFERROR(INDEX(Cant!$M$2:$M$99,_xlfn.AGGREGATE(15,6,(ROW(Cant!$M$2:$M$99)-ROW(Cant!$M$2)+1)/((Cant!$M$2:$M$99&lt;&gt;"")*(Cant!$J$2:$J$99="43/1.5")*(COUNTIF($R$10:R12,Cant!$M$2:$M$99)=0)),1)),"")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02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 cm="1">
        <f t="array" ref="F14">IFERROR(INDEX(Cant!$M$2:$M$99,_xlfn.AGGREGATE(15,6,(ROW(Cant!$M$2:$M$99)-ROW(Cant!$M$2)+1)/((Cant!$M$2:$M$99&lt;&gt;"")*(COUNTIF($F$10:F13,Cant!$M$2:$M$99)=0)),1)),"")</f>
        <v/>
      </c>
      <c r="G14" s="135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98" t="str" cm="1">
        <f t="array" ref="H14">IFERROR(INDEX(Cant!$M$2:$M$99,_xlfn.AGGREGATE(15,6,(ROW(Cant!$M$2:$M$99)-ROW(Cant!$M$2)+1)/((Cant!$M$2:$M$99&lt;&gt;"")*(Cant!$J$2:$J$99="43/1.5")*(COUNTIF($H$10:H13,Cant!$M$2:$M$99)=0)),1)),"")</f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 cm="1">
        <f t="array" ref="J14">IFERROR(INDEX(Cant!$M$2:$M$99,_xlfn.AGGREGATE(15,6,(ROW(Cant!$M$2:$M$99)-ROW(Cant!$M$2)+1)/((Cant!$M$2:$M$99&lt;&gt;"")*(Cant!$J$2:$J$99="43/1.5")*(COUNTIF($J$10:J13,Cant!$M$2:$M$99)=0)),1)),"")</f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 cm="1">
        <f t="array" ref="L14">IFERROR(INDEX(Cant!$M$2:$M$99,_xlfn.AGGREGATE(15,6,(ROW(Cant!$M$2:$M$99)-ROW(Cant!$M$2)+1)/((Cant!$M$2:$M$99&lt;&gt;"")*(Cant!$J$2:$J$99="43/1.5")*(COUNTIF($L$10:L13,Cant!$M$2:$M$99)=0)),1)),"")</f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 cm="1">
        <f t="array" ref="N14">IFERROR(INDEX(Cant!$M$2:$M$99,_xlfn.AGGREGATE(15,6,(ROW(Cant!$M$2:$M$99)-ROW(Cant!$M$2)+1)/((Cant!$M$2:$M$99&lt;&gt;"")*(Cant!$J$2:$J$99="43/1.5")*(COUNTIF($N$10:N13,Cant!$M$2:$M$99)=0)),1)),"")</f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 cm="1">
        <f t="array" ref="P14">IFERROR(INDEX(Cant!$M$2:$M$99,_xlfn.AGGREGATE(15,6,(ROW(Cant!$M$2:$M$99)-ROW(Cant!$M$2)+1)/((Cant!$M$2:$M$99&lt;&gt;"")*(Cant!$J$2:$J$99="43/1.5")*(COUNTIF($P$10:P13,Cant!$M$2:$M$99)=0)),1)),"")</f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 cm="1">
        <f t="array" ref="R14">IFERROR(INDEX(Cant!$M$2:$M$99,_xlfn.AGGREGATE(15,6,(ROW(Cant!$M$2:$M$99)-ROW(Cant!$M$2)+1)/((Cant!$M$2:$M$99&lt;&gt;"")*(Cant!$J$2:$J$99="43/1.5")*(COUNTIF($R$10:R13,Cant!$M$2:$M$99)=0)),1)),"")</f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02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 cm="1">
        <f t="array" ref="F15">IFERROR(INDEX(Cant!$M$2:$M$99,_xlfn.AGGREGATE(15,6,(ROW(Cant!$M$2:$M$99)-ROW(Cant!$M$2)+1)/((Cant!$M$2:$M$99&lt;&gt;"")*(COUNTIF($F$10:F14,Cant!$M$2:$M$99)=0)),1)),"")</f>
        <v/>
      </c>
      <c r="G15" s="135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98" t="str" cm="1">
        <f t="array" ref="H15">IFERROR(INDEX(Cant!$M$2:$M$99,_xlfn.AGGREGATE(15,6,(ROW(Cant!$M$2:$M$99)-ROW(Cant!$M$2)+1)/((Cant!$M$2:$M$99&lt;&gt;"")*(Cant!$J$2:$J$99="43/1.5")*(COUNTIF($H$10:H14,Cant!$M$2:$M$99)=0)),1)),"")</f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 cm="1">
        <f t="array" ref="J15">IFERROR(INDEX(Cant!$M$2:$M$99,_xlfn.AGGREGATE(15,6,(ROW(Cant!$M$2:$M$99)-ROW(Cant!$M$2)+1)/((Cant!$M$2:$M$99&lt;&gt;"")*(Cant!$J$2:$J$99="43/1.5")*(COUNTIF($J$10:J14,Cant!$M$2:$M$99)=0)),1)),"")</f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 cm="1">
        <f t="array" ref="L15">IFERROR(INDEX(Cant!$M$2:$M$99,_xlfn.AGGREGATE(15,6,(ROW(Cant!$M$2:$M$99)-ROW(Cant!$M$2)+1)/((Cant!$M$2:$M$99&lt;&gt;"")*(Cant!$J$2:$J$99="43/1.5")*(COUNTIF($L$10:L14,Cant!$M$2:$M$99)=0)),1)),"")</f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 cm="1">
        <f t="array" ref="N15">IFERROR(INDEX(Cant!$M$2:$M$99,_xlfn.AGGREGATE(15,6,(ROW(Cant!$M$2:$M$99)-ROW(Cant!$M$2)+1)/((Cant!$M$2:$M$99&lt;&gt;"")*(Cant!$J$2:$J$99="43/1.5")*(COUNTIF($N$10:N14,Cant!$M$2:$M$99)=0)),1)),"")</f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 cm="1">
        <f t="array" ref="P15">IFERROR(INDEX(Cant!$M$2:$M$99,_xlfn.AGGREGATE(15,6,(ROW(Cant!$M$2:$M$99)-ROW(Cant!$M$2)+1)/((Cant!$M$2:$M$99&lt;&gt;"")*(Cant!$J$2:$J$99="43/1.5")*(COUNTIF($P$10:P14,Cant!$M$2:$M$99)=0)),1)),"")</f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 cm="1">
        <f t="array" ref="R15">IFERROR(INDEX(Cant!$M$2:$M$99,_xlfn.AGGREGATE(15,6,(ROW(Cant!$M$2:$M$99)-ROW(Cant!$M$2)+1)/((Cant!$M$2:$M$99&lt;&gt;"")*(Cant!$J$2:$J$99="43/1.5")*(COUNTIF($R$10:R14,Cant!$M$2:$M$99)=0)),1)),"")</f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02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 cm="1">
        <f t="array" ref="F16">IFERROR(INDEX(Cant!$M$2:$M$99,_xlfn.AGGREGATE(15,6,(ROW(Cant!$M$2:$M$99)-ROW(Cant!$M$2)+1)/((Cant!$M$2:$M$99&lt;&gt;"")*(COUNTIF($F$10:F15,Cant!$M$2:$M$99)=0)),1)),"")</f>
        <v/>
      </c>
      <c r="G16" s="135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98" t="str" cm="1">
        <f t="array" ref="H16">IFERROR(INDEX(Cant!$M$2:$M$99,_xlfn.AGGREGATE(15,6,(ROW(Cant!$M$2:$M$99)-ROW(Cant!$M$2)+1)/((Cant!$M$2:$M$99&lt;&gt;"")*(Cant!$J$2:$J$99="43/1.5")*(COUNTIF($H$10:H15,Cant!$M$2:$M$99)=0)),1)),"")</f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 cm="1">
        <f t="array" ref="J16">IFERROR(INDEX(Cant!$M$2:$M$99,_xlfn.AGGREGATE(15,6,(ROW(Cant!$M$2:$M$99)-ROW(Cant!$M$2)+1)/((Cant!$M$2:$M$99&lt;&gt;"")*(Cant!$J$2:$J$99="43/1.5")*(COUNTIF($J$10:J15,Cant!$M$2:$M$99)=0)),1)),"")</f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 cm="1">
        <f t="array" ref="L16">IFERROR(INDEX(Cant!$M$2:$M$99,_xlfn.AGGREGATE(15,6,(ROW(Cant!$M$2:$M$99)-ROW(Cant!$M$2)+1)/((Cant!$M$2:$M$99&lt;&gt;"")*(Cant!$J$2:$J$99="43/1.5")*(COUNTIF($L$10:L15,Cant!$M$2:$M$99)=0)),1)),"")</f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 cm="1">
        <f t="array" ref="N16">IFERROR(INDEX(Cant!$M$2:$M$99,_xlfn.AGGREGATE(15,6,(ROW(Cant!$M$2:$M$99)-ROW(Cant!$M$2)+1)/((Cant!$M$2:$M$99&lt;&gt;"")*(Cant!$J$2:$J$99="43/1.5")*(COUNTIF($N$10:N15,Cant!$M$2:$M$99)=0)),1)),"")</f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 cm="1">
        <f t="array" ref="P16">IFERROR(INDEX(Cant!$M$2:$M$99,_xlfn.AGGREGATE(15,6,(ROW(Cant!$M$2:$M$99)-ROW(Cant!$M$2)+1)/((Cant!$M$2:$M$99&lt;&gt;"")*(Cant!$J$2:$J$99="43/1.5")*(COUNTIF($P$10:P15,Cant!$M$2:$M$99)=0)),1)),"")</f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 cm="1">
        <f t="array" ref="R16">IFERROR(INDEX(Cant!$M$2:$M$99,_xlfn.AGGREGATE(15,6,(ROW(Cant!$M$2:$M$99)-ROW(Cant!$M$2)+1)/((Cant!$M$2:$M$99&lt;&gt;"")*(Cant!$J$2:$J$99="43/1.5")*(COUNTIF($R$10:R15,Cant!$M$2:$M$99)=0)),1)),"")</f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02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 cm="1">
        <f t="array" ref="F17">IFERROR(INDEX(Cant!$M$2:$M$99,_xlfn.AGGREGATE(15,6,(ROW(Cant!$M$2:$M$99)-ROW(Cant!$M$2)+1)/((Cant!$M$2:$M$99&lt;&gt;"")*(COUNTIF($F$10:F16,Cant!$M$2:$M$99)=0)),1)),"")</f>
        <v/>
      </c>
      <c r="G17" s="135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98" t="str" cm="1">
        <f t="array" ref="H17">IFERROR(INDEX(Cant!$M$2:$M$99,_xlfn.AGGREGATE(15,6,(ROW(Cant!$M$2:$M$99)-ROW(Cant!$M$2)+1)/((Cant!$M$2:$M$99&lt;&gt;"")*(Cant!$J$2:$J$99="43/1.5")*(COUNTIF($H$10:H16,Cant!$M$2:$M$99)=0)),1)),"")</f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 cm="1">
        <f t="array" ref="J17">IFERROR(INDEX(Cant!$M$2:$M$99,_xlfn.AGGREGATE(15,6,(ROW(Cant!$M$2:$M$99)-ROW(Cant!$M$2)+1)/((Cant!$M$2:$M$99&lt;&gt;"")*(Cant!$J$2:$J$99="43/1.5")*(COUNTIF($J$10:J16,Cant!$M$2:$M$99)=0)),1)),"")</f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 cm="1">
        <f t="array" ref="L17">IFERROR(INDEX(Cant!$M$2:$M$99,_xlfn.AGGREGATE(15,6,(ROW(Cant!$M$2:$M$99)-ROW(Cant!$M$2)+1)/((Cant!$M$2:$M$99&lt;&gt;"")*(Cant!$J$2:$J$99="43/1.5")*(COUNTIF($L$10:L16,Cant!$M$2:$M$99)=0)),1)),"")</f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 cm="1">
        <f t="array" ref="N17">IFERROR(INDEX(Cant!$M$2:$M$99,_xlfn.AGGREGATE(15,6,(ROW(Cant!$M$2:$M$99)-ROW(Cant!$M$2)+1)/((Cant!$M$2:$M$99&lt;&gt;"")*(Cant!$J$2:$J$99="43/1.5")*(COUNTIF($N$10:N16,Cant!$M$2:$M$99)=0)),1)),"")</f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 cm="1">
        <f t="array" ref="P17">IFERROR(INDEX(Cant!$M$2:$M$99,_xlfn.AGGREGATE(15,6,(ROW(Cant!$M$2:$M$99)-ROW(Cant!$M$2)+1)/((Cant!$M$2:$M$99&lt;&gt;"")*(Cant!$J$2:$J$99="43/1.5")*(COUNTIF($P$10:P16,Cant!$M$2:$M$99)=0)),1)),"")</f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 cm="1">
        <f t="array" ref="R17">IFERROR(INDEX(Cant!$M$2:$M$99,_xlfn.AGGREGATE(15,6,(ROW(Cant!$M$2:$M$99)-ROW(Cant!$M$2)+1)/((Cant!$M$2:$M$99&lt;&gt;"")*(Cant!$J$2:$J$99="43/1.5")*(COUNTIF($R$10:R16,Cant!$M$2:$M$99)=0)),1)),"")</f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02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 cm="1">
        <f t="array" ref="F18">IFERROR(INDEX(Cant!$M$2:$M$99,_xlfn.AGGREGATE(15,6,(ROW(Cant!$M$2:$M$99)-ROW(Cant!$M$2)+1)/((Cant!$M$2:$M$99&lt;&gt;"")*(COUNTIF($F$10:F17,Cant!$M$2:$M$99)=0)),1)),"")</f>
        <v/>
      </c>
      <c r="G18" s="135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98" t="str" cm="1">
        <f t="array" ref="H18">IFERROR(INDEX(Cant!$M$2:$M$99,_xlfn.AGGREGATE(15,6,(ROW(Cant!$M$2:$M$99)-ROW(Cant!$M$2)+1)/((Cant!$M$2:$M$99&lt;&gt;"")*(Cant!$J$2:$J$99="43/1.5")*(COUNTIF($H$10:H17,Cant!$M$2:$M$99)=0)),1)),"")</f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 cm="1">
        <f t="array" ref="J18">IFERROR(INDEX(Cant!$M$2:$M$99,_xlfn.AGGREGATE(15,6,(ROW(Cant!$M$2:$M$99)-ROW(Cant!$M$2)+1)/((Cant!$M$2:$M$99&lt;&gt;"")*(Cant!$J$2:$J$99="43/1.5")*(COUNTIF($J$10:J17,Cant!$M$2:$M$99)=0)),1)),"")</f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 cm="1">
        <f t="array" ref="L18">IFERROR(INDEX(Cant!$M$2:$M$99,_xlfn.AGGREGATE(15,6,(ROW(Cant!$M$2:$M$99)-ROW(Cant!$M$2)+1)/((Cant!$M$2:$M$99&lt;&gt;"")*(Cant!$J$2:$J$99="43/1.5")*(COUNTIF($L$10:L17,Cant!$M$2:$M$99)=0)),1)),"")</f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 cm="1">
        <f t="array" ref="N18">IFERROR(INDEX(Cant!$M$2:$M$99,_xlfn.AGGREGATE(15,6,(ROW(Cant!$M$2:$M$99)-ROW(Cant!$M$2)+1)/((Cant!$M$2:$M$99&lt;&gt;"")*(Cant!$J$2:$J$99="43/1.5")*(COUNTIF($N$10:N17,Cant!$M$2:$M$99)=0)),1)),"")</f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 cm="1">
        <f t="array" ref="P18">IFERROR(INDEX(Cant!$M$2:$M$99,_xlfn.AGGREGATE(15,6,(ROW(Cant!$M$2:$M$99)-ROW(Cant!$M$2)+1)/((Cant!$M$2:$M$99&lt;&gt;"")*(Cant!$J$2:$J$99="43/1.5")*(COUNTIF($P$10:P17,Cant!$M$2:$M$99)=0)),1)),"")</f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 cm="1">
        <f t="array" ref="R18">IFERROR(INDEX(Cant!$M$2:$M$99,_xlfn.AGGREGATE(15,6,(ROW(Cant!$M$2:$M$99)-ROW(Cant!$M$2)+1)/((Cant!$M$2:$M$99&lt;&gt;"")*(Cant!$J$2:$J$99="43/1.5")*(COUNTIF($R$10:R17,Cant!$M$2:$M$99)=0)),1)),"")</f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02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 cm="1">
        <f t="array" ref="F19">IFERROR(INDEX(Cant!$M$2:$M$99,_xlfn.AGGREGATE(15,6,(ROW(Cant!$M$2:$M$99)-ROW(Cant!$M$2)+1)/((Cant!$M$2:$M$99&lt;&gt;"")*(COUNTIF($F$10:F18,Cant!$M$2:$M$99)=0)),1)),"")</f>
        <v/>
      </c>
      <c r="G19" s="135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98" t="str" cm="1">
        <f t="array" ref="H19">IFERROR(INDEX(Cant!$M$2:$M$99,_xlfn.AGGREGATE(15,6,(ROW(Cant!$M$2:$M$99)-ROW(Cant!$M$2)+1)/((Cant!$M$2:$M$99&lt;&gt;"")*(Cant!$J$2:$J$99="43/1.5")*(COUNTIF($H$10:H18,Cant!$M$2:$M$99)=0)),1)),"")</f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 cm="1">
        <f t="array" ref="J19">IFERROR(INDEX(Cant!$M$2:$M$99,_xlfn.AGGREGATE(15,6,(ROW(Cant!$M$2:$M$99)-ROW(Cant!$M$2)+1)/((Cant!$M$2:$M$99&lt;&gt;"")*(Cant!$J$2:$J$99="43/1.5")*(COUNTIF($J$10:J18,Cant!$M$2:$M$99)=0)),1)),"")</f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 cm="1">
        <f t="array" ref="L19">IFERROR(INDEX(Cant!$M$2:$M$99,_xlfn.AGGREGATE(15,6,(ROW(Cant!$M$2:$M$99)-ROW(Cant!$M$2)+1)/((Cant!$M$2:$M$99&lt;&gt;"")*(Cant!$J$2:$J$99="43/1.5")*(COUNTIF($L$10:L18,Cant!$M$2:$M$99)=0)),1)),"")</f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 cm="1">
        <f t="array" ref="N19">IFERROR(INDEX(Cant!$M$2:$M$99,_xlfn.AGGREGATE(15,6,(ROW(Cant!$M$2:$M$99)-ROW(Cant!$M$2)+1)/((Cant!$M$2:$M$99&lt;&gt;"")*(Cant!$J$2:$J$99="43/1.5")*(COUNTIF($N$10:N18,Cant!$M$2:$M$99)=0)),1)),"")</f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 cm="1">
        <f t="array" ref="P19">IFERROR(INDEX(Cant!$M$2:$M$99,_xlfn.AGGREGATE(15,6,(ROW(Cant!$M$2:$M$99)-ROW(Cant!$M$2)+1)/((Cant!$M$2:$M$99&lt;&gt;"")*(Cant!$J$2:$J$99="43/1.5")*(COUNTIF($P$10:P18,Cant!$M$2:$M$99)=0)),1)),"")</f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 cm="1">
        <f t="array" ref="R19">IFERROR(INDEX(Cant!$M$2:$M$99,_xlfn.AGGREGATE(15,6,(ROW(Cant!$M$2:$M$99)-ROW(Cant!$M$2)+1)/((Cant!$M$2:$M$99&lt;&gt;"")*(Cant!$J$2:$J$99="43/1.5")*(COUNTIF($R$10:R18,Cant!$M$2:$M$99)=0)),1)),"")</f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02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 cm="1">
        <f t="array" ref="F20">IFERROR(INDEX(Cant!$M$2:$M$99,_xlfn.AGGREGATE(15,6,(ROW(Cant!$M$2:$M$99)-ROW(Cant!$M$2)+1)/((Cant!$M$2:$M$99&lt;&gt;"")*(COUNTIF($F$10:F19,Cant!$M$2:$M$99)=0)),1)),"")</f>
        <v/>
      </c>
      <c r="G20" s="135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98" t="str" cm="1">
        <f t="array" ref="H20">IFERROR(INDEX(Cant!$M$2:$M$99,_xlfn.AGGREGATE(15,6,(ROW(Cant!$M$2:$M$99)-ROW(Cant!$M$2)+1)/((Cant!$M$2:$M$99&lt;&gt;"")*(Cant!$J$2:$J$99="43/1.5")*(COUNTIF($H$10:H19,Cant!$M$2:$M$99)=0)),1)),"")</f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 cm="1">
        <f t="array" ref="J20">IFERROR(INDEX(Cant!$M$2:$M$99,_xlfn.AGGREGATE(15,6,(ROW(Cant!$M$2:$M$99)-ROW(Cant!$M$2)+1)/((Cant!$M$2:$M$99&lt;&gt;"")*(Cant!$J$2:$J$99="43/1.5")*(COUNTIF($J$10:J19,Cant!$M$2:$M$99)=0)),1)),"")</f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 cm="1">
        <f t="array" ref="L20">IFERROR(INDEX(Cant!$M$2:$M$99,_xlfn.AGGREGATE(15,6,(ROW(Cant!$M$2:$M$99)-ROW(Cant!$M$2)+1)/((Cant!$M$2:$M$99&lt;&gt;"")*(Cant!$J$2:$J$99="43/1.5")*(COUNTIF($L$10:L19,Cant!$M$2:$M$99)=0)),1)),"")</f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 cm="1">
        <f t="array" ref="N20">IFERROR(INDEX(Cant!$M$2:$M$99,_xlfn.AGGREGATE(15,6,(ROW(Cant!$M$2:$M$99)-ROW(Cant!$M$2)+1)/((Cant!$M$2:$M$99&lt;&gt;"")*(Cant!$J$2:$J$99="43/1.5")*(COUNTIF($N$10:N19,Cant!$M$2:$M$99)=0)),1)),"")</f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 cm="1">
        <f t="array" ref="P20">IFERROR(INDEX(Cant!$M$2:$M$99,_xlfn.AGGREGATE(15,6,(ROW(Cant!$M$2:$M$99)-ROW(Cant!$M$2)+1)/((Cant!$M$2:$M$99&lt;&gt;"")*(Cant!$J$2:$J$99="43/1.5")*(COUNTIF($P$10:P19,Cant!$M$2:$M$99)=0)),1)),"")</f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 cm="1">
        <f t="array" ref="R20">IFERROR(INDEX(Cant!$M$2:$M$99,_xlfn.AGGREGATE(15,6,(ROW(Cant!$M$2:$M$99)-ROW(Cant!$M$2)+1)/((Cant!$M$2:$M$99&lt;&gt;"")*(Cant!$J$2:$J$99="43/1.5")*(COUNTIF($R$10:R19,Cant!$M$2:$M$99)=0)),1)),"")</f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02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 cm="1">
        <f t="array" ref="F21">IFERROR(INDEX(Cant!$M$2:$M$99,_xlfn.AGGREGATE(15,6,(ROW(Cant!$M$2:$M$99)-ROW(Cant!$M$2)+1)/((Cant!$M$2:$M$99&lt;&gt;"")*(COUNTIF($F$10:F20,Cant!$M$2:$M$99)=0)),1)),"")</f>
        <v/>
      </c>
      <c r="G21" s="135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98" t="str" cm="1">
        <f t="array" ref="H21">IFERROR(INDEX(Cant!$M$2:$M$99,_xlfn.AGGREGATE(15,6,(ROW(Cant!$M$2:$M$99)-ROW(Cant!$M$2)+1)/((Cant!$M$2:$M$99&lt;&gt;"")*(Cant!$J$2:$J$99="43/1.5")*(COUNTIF($H$10:H20,Cant!$M$2:$M$99)=0)),1)),"")</f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 cm="1">
        <f t="array" ref="J21">IFERROR(INDEX(Cant!$M$2:$M$99,_xlfn.AGGREGATE(15,6,(ROW(Cant!$M$2:$M$99)-ROW(Cant!$M$2)+1)/((Cant!$M$2:$M$99&lt;&gt;"")*(Cant!$J$2:$J$99="43/1.5")*(COUNTIF($J$10:J20,Cant!$M$2:$M$99)=0)),1)),"")</f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 cm="1">
        <f t="array" ref="L21">IFERROR(INDEX(Cant!$M$2:$M$99,_xlfn.AGGREGATE(15,6,(ROW(Cant!$M$2:$M$99)-ROW(Cant!$M$2)+1)/((Cant!$M$2:$M$99&lt;&gt;"")*(Cant!$J$2:$J$99="43/1.5")*(COUNTIF($L$10:L20,Cant!$M$2:$M$99)=0)),1)),"")</f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 cm="1">
        <f t="array" ref="N21">IFERROR(INDEX(Cant!$M$2:$M$99,_xlfn.AGGREGATE(15,6,(ROW(Cant!$M$2:$M$99)-ROW(Cant!$M$2)+1)/((Cant!$M$2:$M$99&lt;&gt;"")*(Cant!$J$2:$J$99="43/1.5")*(COUNTIF($N$10:N20,Cant!$M$2:$M$99)=0)),1)),"")</f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 cm="1">
        <f t="array" ref="P21">IFERROR(INDEX(Cant!$M$2:$M$99,_xlfn.AGGREGATE(15,6,(ROW(Cant!$M$2:$M$99)-ROW(Cant!$M$2)+1)/((Cant!$M$2:$M$99&lt;&gt;"")*(Cant!$J$2:$J$99="43/1.5")*(COUNTIF($P$10:P20,Cant!$M$2:$M$99)=0)),1)),"")</f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 cm="1">
        <f t="array" ref="R21">IFERROR(INDEX(Cant!$M$2:$M$99,_xlfn.AGGREGATE(15,6,(ROW(Cant!$M$2:$M$99)-ROW(Cant!$M$2)+1)/((Cant!$M$2:$M$99&lt;&gt;"")*(Cant!$J$2:$J$99="43/1.5")*(COUNTIF($R$10:R20,Cant!$M$2:$M$99)=0)),1)),"")</f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03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 cm="1">
        <f t="array" ref="F22">IFERROR(INDEX(Cant!$M$2:$M$99,_xlfn.AGGREGATE(15,6,(ROW(Cant!$M$2:$M$99)-ROW(Cant!$M$2)+1)/((Cant!$M$2:$M$99&lt;&gt;"")*(COUNTIF($F$10:F21,Cant!$M$2:$M$99)=0)),1)),"")</f>
        <v/>
      </c>
      <c r="G22" s="135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98" t="str" cm="1">
        <f t="array" ref="H22">IFERROR(INDEX(Cant!$M$2:$M$99,_xlfn.AGGREGATE(15,6,(ROW(Cant!$M$2:$M$99)-ROW(Cant!$M$2)+1)/((Cant!$M$2:$M$99&lt;&gt;"")*(Cant!$J$2:$J$99="43/1.5")*(COUNTIF($H$10:H21,Cant!$M$2:$M$99)=0)),1)),"")</f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 cm="1">
        <f t="array" ref="J22">IFERROR(INDEX(Cant!$M$2:$M$99,_xlfn.AGGREGATE(15,6,(ROW(Cant!$M$2:$M$99)-ROW(Cant!$M$2)+1)/((Cant!$M$2:$M$99&lt;&gt;"")*(Cant!$J$2:$J$99="43/1.5")*(COUNTIF($J$10:J21,Cant!$M$2:$M$99)=0)),1)),"")</f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21" t="str" cm="1">
        <f t="array" ref="L22">IFERROR(INDEX(Cant!$M$2:$M$99,_xlfn.AGGREGATE(15,6,(ROW(Cant!$M$2:$M$99)-ROW(Cant!$M$2)+1)/((Cant!$M$2:$M$99&lt;&gt;"")*(Cant!$J$2:$J$99="43/1.5")*(COUNTIF($L$10:L21,Cant!$M$2:$M$99)=0)),1)),"")</f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 cm="1">
        <f t="array" ref="N22">IFERROR(INDEX(Cant!$M$2:$M$99,_xlfn.AGGREGATE(15,6,(ROW(Cant!$M$2:$M$99)-ROW(Cant!$M$2)+1)/((Cant!$M$2:$M$99&lt;&gt;"")*(Cant!$J$2:$J$99="43/1.5")*(COUNTIF($N$10:N21,Cant!$M$2:$M$99)=0)),1)),"")</f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 cm="1">
        <f t="array" ref="P22">IFERROR(INDEX(Cant!$M$2:$M$99,_xlfn.AGGREGATE(15,6,(ROW(Cant!$M$2:$M$99)-ROW(Cant!$M$2)+1)/((Cant!$M$2:$M$99&lt;&gt;"")*(Cant!$J$2:$J$99="43/1.5")*(COUNTIF($P$10:P21,Cant!$M$2:$M$99)=0)),1)),"")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 cm="1">
        <f t="array" ref="R22">IFERROR(INDEX(Cant!$M$2:$M$99,_xlfn.AGGREGATE(15,6,(ROW(Cant!$M$2:$M$99)-ROW(Cant!$M$2)+1)/((Cant!$M$2:$M$99&lt;&gt;"")*(Cant!$J$2:$J$99="43/1.5")*(COUNTIF($R$10:R21,Cant!$M$2:$M$99)=0)),1)),"")</f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11.25" hidden="1" customHeight="1" thickBo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/>
      <c r="G23" s="88"/>
      <c r="H23" s="100"/>
      <c r="I23" s="146"/>
      <c r="J23" s="108" t="str" cm="1">
        <f t="array" ref="J23">IFERROR(INDEX(Cant!$M$2:$M$99,_xlfn.AGGREGATE(15,6,(ROW(Cant!$M$2:$M$99)-ROW(Cant!$M$2)+1)/((Cant!$M$2:$M$99&lt;&gt;"")*(Cant!$J$2:$J$99="43/1.5")*(COUNTIF($J$10:J22,Cant!$M$2:$M$99)=0)),1)),"")</f>
        <v/>
      </c>
      <c r="K23" s="110"/>
      <c r="L23" s="272"/>
      <c r="M23" s="119"/>
      <c r="N23" s="150"/>
      <c r="O23" s="49"/>
      <c r="P23" s="70"/>
      <c r="Q23" s="49"/>
      <c r="R23" s="150"/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01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185" t="str" cm="1">
        <f t="array" ref="F24">IFERROR(INDEX(Cant!$M$2:$M$99,_xlfn.AGGREGATE(15,6,(ROW(Cant!$M$2:$M$99)-ROW(Cant!$M$2)+1)/((Cant!$M$2:$M$99&lt;&gt;"")*(COUNTIF($F$10:F23,Cant!$M$2:$M$99)=0)),1)),"")</f>
        <v/>
      </c>
      <c r="G24" s="90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183" t="str" cm="1">
        <f t="array" ref="H24">IFERROR(INDEX(Cant!$M$2:$M$99,_xlfn.AGGREGATE(15,6,(ROW(Cant!$M$2:$M$99)-ROW(Cant!$M$2)+1)/((Cant!$M$2:$M$99&lt;&gt;"")*(Cant!$J$2:$J$99="43/1.5")*(COUNTIF($H$10:H23,Cant!$M$2:$M$99)=0)),1)),"")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 cm="1">
        <f t="array" ref="J24">IFERROR(INDEX(Cant!$M$2:$M$99,_xlfn.AGGREGATE(15,6,(ROW(Cant!$M$2:$M$99)-ROW(Cant!$M$2)+1)/((Cant!$M$2:$M$99&lt;&gt;"")*(Cant!$J$2:$J$99="43/1.5")*(COUNTIF($J$10:J23,Cant!$M$2:$M$99)=0)),1)),"")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7" t="str" cm="1">
        <f t="array" ref="L24">IFERROR(INDEX(Cant!$M$2:$M$99,_xlfn.AGGREGATE(15,6,(ROW(Cant!$M$2:$M$99)-ROW(Cant!$M$2)+1)/((Cant!$M$2:$M$99&lt;&gt;"")*(Cant!$J$2:$J$99="43/1.5")*(COUNTIF($L$10:L23,Cant!$M$2:$M$99)=0)),1)),"")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 cm="1">
        <f t="array" ref="N24">IFERROR(INDEX(Cant!$M$2:$M$99,_xlfn.AGGREGATE(15,6,(ROW(Cant!$M$2:$M$99)-ROW(Cant!$M$2)+1)/((Cant!$M$2:$M$99&lt;&gt;"")*(Cant!$J$2:$J$99="43/1.5")*(COUNTIF($N$10:N23,Cant!$M$2:$M$99)=0)),1)),"")</f>
        <v/>
      </c>
      <c r="O24" s="29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57" t="str" cm="1">
        <f t="array" ref="P24">IFERROR(INDEX(Cant!$M$2:$M$99,_xlfn.AGGREGATE(15,6,(ROW(Cant!$M$2:$M$99)-ROW(Cant!$M$2)+1)/((Cant!$M$2:$M$99&lt;&gt;"")*(Cant!$J$2:$J$99="43/1.5")*(COUNTIF($P$10:P23,Cant!$M$2:$M$99)=0)),1)),"")</f>
        <v/>
      </c>
      <c r="Q24" s="169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 cm="1">
        <f t="array" ref="R24">IFERROR(INDEX(Cant!$M$2:$M$99,_xlfn.AGGREGATE(15,6,(ROW(Cant!$M$2:$M$99)-ROW(Cant!$M$2)+1)/((Cant!$M$2:$M$99&lt;&gt;"")*(Cant!$J$2:$J$99="43/1.5")*(COUNTIF($R$10:R23,Cant!$M$2:$M$99)=0)),1)),"")</f>
        <v/>
      </c>
      <c r="S24" s="169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02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86" t="str" cm="1">
        <f t="array" ref="F25">IFERROR(INDEX(Cant!$M$2:$M$99,_xlfn.AGGREGATE(15,6,(ROW(Cant!$M$2:$M$99)-ROW(Cant!$M$2)+1)/((Cant!$M$2:$M$99&lt;&gt;"")*(COUNTIF($F$10:F24,Cant!$M$2:$M$99)=0)),1)),"")</f>
        <v/>
      </c>
      <c r="G25" s="86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184" t="str" cm="1">
        <f t="array" ref="H25">IFERROR(INDEX(Cant!$M$2:$M$99,_xlfn.AGGREGATE(15,6,(ROW(Cant!$M$2:$M$99)-ROW(Cant!$M$2)+1)/((Cant!$M$2:$M$99&lt;&gt;"")*(Cant!$J$2:$J$99="43/1.5")*(COUNTIF($H$10:H24,Cant!$M$2:$M$99)=0)),1)),"")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 cm="1">
        <f t="array" ref="J25">IFERROR(INDEX(Cant!$M$2:$M$99,_xlfn.AGGREGATE(15,6,(ROW(Cant!$M$2:$M$99)-ROW(Cant!$M$2)+1)/((Cant!$M$2:$M$99&lt;&gt;"")*(Cant!$J$2:$J$99="43/1.5")*(COUNTIF($J$10:J24,Cant!$M$2:$M$99)=0)),1)),"")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 cm="1">
        <f t="array" ref="L25">IFERROR(INDEX(Cant!$M$2:$M$99,_xlfn.AGGREGATE(15,6,(ROW(Cant!$M$2:$M$99)-ROW(Cant!$M$2)+1)/((Cant!$M$2:$M$99&lt;&gt;"")*(Cant!$J$2:$J$99="43/1.5")*(COUNTIF($L$10:L24,Cant!$M$2:$M$99)=0)),1)),"")</f>
        <v/>
      </c>
      <c r="M25" s="149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 cm="1">
        <f t="array" ref="N25">IFERROR(INDEX(Cant!$M$2:$M$99,_xlfn.AGGREGATE(15,6,(ROW(Cant!$M$2:$M$99)-ROW(Cant!$M$2)+1)/((Cant!$M$2:$M$99&lt;&gt;"")*(Cant!$J$2:$J$99="43/1.5")*(COUNTIF($N$10:N24,Cant!$M$2:$M$99)=0)),1)),"")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 cm="1">
        <f t="array" ref="P25">IFERROR(INDEX(Cant!$M$2:$M$99,_xlfn.AGGREGATE(15,6,(ROW(Cant!$M$2:$M$99)-ROW(Cant!$M$2)+1)/((Cant!$M$2:$M$99&lt;&gt;"")*(Cant!$J$2:$J$99="43/1.5")*(COUNTIF($P$10:P24,Cant!$M$2:$M$99)=0)),1)),"")</f>
        <v/>
      </c>
      <c r="Q25" s="17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 cm="1">
        <f t="array" ref="R25">IFERROR(INDEX(Cant!$M$2:$M$99,_xlfn.AGGREGATE(15,6,(ROW(Cant!$M$2:$M$99)-ROW(Cant!$M$2)+1)/((Cant!$M$2:$M$99&lt;&gt;"")*(Cant!$J$2:$J$99="43/1.5")*(COUNTIF($R$10:R24,Cant!$M$2:$M$99)=0)),1)),"")</f>
        <v/>
      </c>
      <c r="S25" s="17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02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86" t="str" cm="1">
        <f t="array" ref="F26">IFERROR(INDEX(Cant!$M$2:$M$99,_xlfn.AGGREGATE(15,6,(ROW(Cant!$M$2:$M$99)-ROW(Cant!$M$2)+1)/((Cant!$M$2:$M$99&lt;&gt;"")*(COUNTIF($F$10:F25,Cant!$M$2:$M$99)=0)),1)),"")</f>
        <v/>
      </c>
      <c r="G26" s="86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184" t="str" cm="1">
        <f t="array" ref="H26">IFERROR(INDEX(Cant!$M$2:$M$99,_xlfn.AGGREGATE(15,6,(ROW(Cant!$M$2:$M$99)-ROW(Cant!$M$2)+1)/((Cant!$M$2:$M$99&lt;&gt;"")*(Cant!$J$2:$J$99="43/1.5")*(COUNTIF($H$10:H25,Cant!$M$2:$M$99)=0)),1)),"")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 cm="1">
        <f t="array" ref="J26">IFERROR(INDEX(Cant!$M$2:$M$99,_xlfn.AGGREGATE(15,6,(ROW(Cant!$M$2:$M$99)-ROW(Cant!$M$2)+1)/((Cant!$M$2:$M$99&lt;&gt;"")*(Cant!$J$2:$J$99="43/1.5")*(COUNTIF($J$10:J25,Cant!$M$2:$M$99)=0)),1)),"")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 cm="1">
        <f t="array" ref="L26">IFERROR(INDEX(Cant!$M$2:$M$99,_xlfn.AGGREGATE(15,6,(ROW(Cant!$M$2:$M$99)-ROW(Cant!$M$2)+1)/((Cant!$M$2:$M$99&lt;&gt;"")*(Cant!$J$2:$J$99="43/1.5")*(COUNTIF($L$10:L25,Cant!$M$2:$M$99)=0)),1)),"")</f>
        <v/>
      </c>
      <c r="M26" s="149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 cm="1">
        <f t="array" ref="N26">IFERROR(INDEX(Cant!$M$2:$M$99,_xlfn.AGGREGATE(15,6,(ROW(Cant!$M$2:$M$99)-ROW(Cant!$M$2)+1)/((Cant!$M$2:$M$99&lt;&gt;"")*(Cant!$J$2:$J$99="43/1.5")*(COUNTIF($N$10:N25,Cant!$M$2:$M$99)=0)),1)),"")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 cm="1">
        <f t="array" ref="P26">IFERROR(INDEX(Cant!$M$2:$M$99,_xlfn.AGGREGATE(15,6,(ROW(Cant!$M$2:$M$99)-ROW(Cant!$M$2)+1)/((Cant!$M$2:$M$99&lt;&gt;"")*(Cant!$J$2:$J$99="43/1.5")*(COUNTIF($P$10:P25,Cant!$M$2:$M$99)=0)),1)),"")</f>
        <v/>
      </c>
      <c r="Q26" s="17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 cm="1">
        <f t="array" ref="R26">IFERROR(INDEX(Cant!$M$2:$M$99,_xlfn.AGGREGATE(15,6,(ROW(Cant!$M$2:$M$99)-ROW(Cant!$M$2)+1)/((Cant!$M$2:$M$99&lt;&gt;"")*(Cant!$J$2:$J$99="43/1.5")*(COUNTIF($R$10:R25,Cant!$M$2:$M$99)=0)),1)),"")</f>
        <v/>
      </c>
      <c r="S26" s="17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02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86" t="str" cm="1">
        <f t="array" ref="F27">IFERROR(INDEX(Cant!$M$2:$M$99,_xlfn.AGGREGATE(15,6,(ROW(Cant!$M$2:$M$99)-ROW(Cant!$M$2)+1)/((Cant!$M$2:$M$99&lt;&gt;"")*(COUNTIF($F$10:F26,Cant!$M$2:$M$99)=0)),1)),"")</f>
        <v/>
      </c>
      <c r="G27" s="86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184" t="str" cm="1">
        <f t="array" ref="H27">IFERROR(INDEX(Cant!$M$2:$M$99,_xlfn.AGGREGATE(15,6,(ROW(Cant!$M$2:$M$99)-ROW(Cant!$M$2)+1)/((Cant!$M$2:$M$99&lt;&gt;"")*(Cant!$J$2:$J$99="43/1.5")*(COUNTIF($H$10:H26,Cant!$M$2:$M$99)=0)),1)),"")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 cm="1">
        <f t="array" ref="J27">IFERROR(INDEX(Cant!$M$2:$M$99,_xlfn.AGGREGATE(15,6,(ROW(Cant!$M$2:$M$99)-ROW(Cant!$M$2)+1)/((Cant!$M$2:$M$99&lt;&gt;"")*(Cant!$J$2:$J$99="43/1.5")*(COUNTIF($J$10:J26,Cant!$M$2:$M$99)=0)),1)),"")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 cm="1">
        <f t="array" ref="L27">IFERROR(INDEX(Cant!$M$2:$M$99,_xlfn.AGGREGATE(15,6,(ROW(Cant!$M$2:$M$99)-ROW(Cant!$M$2)+1)/((Cant!$M$2:$M$99&lt;&gt;"")*(Cant!$J$2:$J$99="43/1.5")*(COUNTIF($L$10:L26,Cant!$M$2:$M$99)=0)),1)),"")</f>
        <v/>
      </c>
      <c r="M27" s="149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 cm="1">
        <f t="array" ref="N27">IFERROR(INDEX(Cant!$M$2:$M$99,_xlfn.AGGREGATE(15,6,(ROW(Cant!$M$2:$M$99)-ROW(Cant!$M$2)+1)/((Cant!$M$2:$M$99&lt;&gt;"")*(Cant!$J$2:$J$99="43/1.5")*(COUNTIF($N$10:N26,Cant!$M$2:$M$99)=0)),1)),"")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 cm="1">
        <f t="array" ref="P27">IFERROR(INDEX(Cant!$M$2:$M$99,_xlfn.AGGREGATE(15,6,(ROW(Cant!$M$2:$M$99)-ROW(Cant!$M$2)+1)/((Cant!$M$2:$M$99&lt;&gt;"")*(Cant!$J$2:$J$99="43/1.5")*(COUNTIF($P$10:P26,Cant!$M$2:$M$99)=0)),1)),"")</f>
        <v/>
      </c>
      <c r="Q27" s="17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 cm="1">
        <f t="array" ref="R27">IFERROR(INDEX(Cant!$M$2:$M$99,_xlfn.AGGREGATE(15,6,(ROW(Cant!$M$2:$M$99)-ROW(Cant!$M$2)+1)/((Cant!$M$2:$M$99&lt;&gt;"")*(Cant!$J$2:$J$99="43/1.5")*(COUNTIF($R$10:R26,Cant!$M$2:$M$99)=0)),1)),"")</f>
        <v/>
      </c>
      <c r="S27" s="17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04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271" t="str" cm="1">
        <f t="array" ref="F28">IFERROR(INDEX(Cant!$M$2:$M$99,_xlfn.AGGREGATE(15,6,(ROW(Cant!$M$2:$M$99)-ROW(Cant!$M$2)+1)/((Cant!$M$2:$M$99&lt;&gt;"")*(COUNTIF($F$10:F27,Cant!$M$2:$M$99)=0)),1)),"")</f>
        <v/>
      </c>
      <c r="G28" s="14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102" t="str" cm="1">
        <f t="array" ref="H28">IFERROR(INDEX(Cant!$M$2:$M$99,_xlfn.AGGREGATE(15,6,(ROW(Cant!$M$2:$M$99)-ROW(Cant!$M$2)+1)/((Cant!$M$2:$M$99&lt;&gt;"")*(Cant!$J$2:$J$99="43/1.5")*(COUNTIF($H$10:H27,Cant!$M$2:$M$99)=0)),1)),"")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 cm="1">
        <f t="array" ref="J28">IFERROR(INDEX(Cant!$M$2:$M$99,_xlfn.AGGREGATE(15,6,(ROW(Cant!$M$2:$M$99)-ROW(Cant!$M$2)+1)/((Cant!$M$2:$M$99&lt;&gt;"")*(Cant!$J$2:$J$99="43/1.5")*(COUNTIF($J$10:J27,Cant!$M$2:$M$99)=0)),1)),"")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 cm="1">
        <f t="array" ref="L28">IFERROR(INDEX(Cant!$M$2:$M$99,_xlfn.AGGREGATE(15,6,(ROW(Cant!$M$2:$M$99)-ROW(Cant!$M$2)+1)/((Cant!$M$2:$M$99&lt;&gt;"")*(Cant!$J$2:$J$99="43/1.5")*(COUNTIF($L$10:L27,Cant!$M$2:$M$99)=0)),1)),"")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 cm="1">
        <f t="array" ref="N28">IFERROR(INDEX(Cant!$M$2:$M$99,_xlfn.AGGREGATE(15,6,(ROW(Cant!$M$2:$M$99)-ROW(Cant!$M$2)+1)/((Cant!$M$2:$M$99&lt;&gt;"")*(Cant!$J$2:$J$99="43/1.5")*(COUNTIF($N$10:N27,Cant!$M$2:$M$99)=0)),1)),"")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 cm="1">
        <f t="array" ref="P28">IFERROR(INDEX(Cant!$M$2:$M$99,_xlfn.AGGREGATE(15,6,(ROW(Cant!$M$2:$M$99)-ROW(Cant!$M$2)+1)/((Cant!$M$2:$M$99&lt;&gt;"")*(Cant!$J$2:$J$99="43/1.5")*(COUNTIF($P$10:P27,Cant!$M$2:$M$99)=0)),1)),"")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 cm="1">
        <f t="array" ref="R28">IFERROR(INDEX(Cant!$M$2:$M$99,_xlfn.AGGREGATE(15,6,(ROW(Cant!$M$2:$M$99)-ROW(Cant!$M$2)+1)/((Cant!$M$2:$M$99&lt;&gt;"")*(Cant!$J$2:$J$99="43/1.5")*(COUNTIF($R$10:R27,Cant!$M$2:$M$99)=0)),1)),"")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66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191" t="s">
        <v>79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89" t="str" cm="1">
        <f t="array" ref="F32">IFERROR(INDEX(Cant!$M$2:$M$99,_xlfn.AGGREGATE(15,6,(ROW(Cant!$M$2:$M$99)-ROW(Cant!$M$2)+1)/((Cant!$M$2:$M$99&lt;&gt;"")*(COUNTIF($F$10:F31,Cant!$M$2:$M$99)=0)),1)),"")</f>
        <v/>
      </c>
      <c r="G32" s="90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97" t="str" cm="1">
        <f t="array" ref="H32">IFERROR(INDEX(Cant!$M$2:$M$99,_xlfn.AGGREGATE(15,6,(ROW(Cant!$M$2:$M$99)-ROW(Cant!$M$2)+1)/((Cant!$M$2:$M$99&lt;&gt;"")*(Cant!$J$2:$J$99="43/1.5")*(COUNTIF($H$10:H31,Cant!$M$2:$M$99)=0)),1)),"")</f>
        <v/>
      </c>
      <c r="I32" s="171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 cm="1">
        <f t="array" ref="J32">IFERROR(INDEX(Cant!$M$2:$M$99,_xlfn.AGGREGATE(15,6,(ROW(Cant!$M$2:$M$99)-ROW(Cant!$M$2)+1)/((Cant!$M$2:$M$99&lt;&gt;"")*(Cant!$J$2:$J$99="43/1.5")*(COUNTIF($J$10:J31,Cant!$M$2:$M$99)=0)),1)),"")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 cm="1">
        <f t="array" ref="L32">IFERROR(INDEX(Cant!$M$2:$M$99,_xlfn.AGGREGATE(15,6,(ROW(Cant!$M$2:$M$99)-ROW(Cant!$M$2)+1)/((Cant!$M$2:$M$99&lt;&gt;"")*(Cant!$J$2:$J$99="43/1.5")*(COUNTIF($L$10:L31,Cant!$M$2:$M$99)=0)),1)),"")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 cm="1">
        <f t="array" ref="N32">IFERROR(INDEX(Cant!$M$2:$M$99,_xlfn.AGGREGATE(15,6,(ROW(Cant!$M$2:$M$99)-ROW(Cant!$M$2)+1)/((Cant!$M$2:$M$99&lt;&gt;"")*(Cant!$J$2:$J$99="43/1.5")*(COUNTIF($N$10:N31,Cant!$M$2:$M$99)=0)),1)),"")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 cm="1">
        <f t="array" ref="P32">IFERROR(INDEX(Cant!$M$2:$M$99,_xlfn.AGGREGATE(15,6,(ROW(Cant!$M$2:$M$99)-ROW(Cant!$M$2)+1)/((Cant!$M$2:$M$99&lt;&gt;"")*(Cant!$J$2:$J$99="43/1.5")*(COUNTIF($P$10:P31,Cant!$M$2:$M$99)=0)),1)),"")</f>
        <v/>
      </c>
      <c r="Q32" s="169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 cm="1">
        <f t="array" ref="R32">IFERROR(INDEX(Cant!$M$2:$M$99,_xlfn.AGGREGATE(15,6,(ROW(Cant!$M$2:$M$99)-ROW(Cant!$M$2)+1)/((Cant!$M$2:$M$99&lt;&gt;"")*(Cant!$J$2:$J$99="43/1.5")*(COUNTIF($R$10:R31,Cant!$M$2:$M$99)=0)),1)),"")</f>
        <v/>
      </c>
      <c r="S32" s="169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92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85" t="str" cm="1">
        <f t="array" ref="F33">IFERROR(INDEX(Cant!$M$2:$M$99,_xlfn.AGGREGATE(15,6,(ROW(Cant!$M$2:$M$99)-ROW(Cant!$M$2)+1)/((Cant!$M$2:$M$99&lt;&gt;"")*(COUNTIF($F$10:F32,Cant!$M$2:$M$99)=0)),1)),"")</f>
        <v/>
      </c>
      <c r="G33" s="86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98" t="str" cm="1">
        <f t="array" ref="H33">IFERROR(INDEX(Cant!$M$2:$M$99,_xlfn.AGGREGATE(15,6,(ROW(Cant!$M$2:$M$99)-ROW(Cant!$M$2)+1)/((Cant!$M$2:$M$99&lt;&gt;"")*(Cant!$J$2:$J$99="43/1.5")*(COUNTIF($H$10:H32,Cant!$M$2:$M$99)=0)),1)),"")</f>
        <v/>
      </c>
      <c r="I33" s="172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 cm="1">
        <f t="array" ref="J33">IFERROR(INDEX(Cant!$M$2:$M$99,_xlfn.AGGREGATE(15,6,(ROW(Cant!$M$2:$M$99)-ROW(Cant!$M$2)+1)/((Cant!$M$2:$M$99&lt;&gt;"")*(Cant!$J$2:$J$99="43/1.5")*(COUNTIF($J$10:J32,Cant!$M$2:$M$99)=0)),1)),"")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 cm="1">
        <f t="array" ref="L33">IFERROR(INDEX(Cant!$M$2:$M$99,_xlfn.AGGREGATE(15,6,(ROW(Cant!$M$2:$M$99)-ROW(Cant!$M$2)+1)/((Cant!$M$2:$M$99&lt;&gt;"")*(Cant!$J$2:$J$99="43/1.5")*(COUNTIF($L$10:L32,Cant!$M$2:$M$99)=0)),1)),"")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 cm="1">
        <f t="array" ref="N33">IFERROR(INDEX(Cant!$M$2:$M$99,_xlfn.AGGREGATE(15,6,(ROW(Cant!$M$2:$M$99)-ROW(Cant!$M$2)+1)/((Cant!$M$2:$M$99&lt;&gt;"")*(Cant!$J$2:$J$99="43/1.5")*(COUNTIF($N$10:N32,Cant!$M$2:$M$99)=0)),1)),"")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 cm="1">
        <f t="array" ref="P33">IFERROR(INDEX(Cant!$M$2:$M$99,_xlfn.AGGREGATE(15,6,(ROW(Cant!$M$2:$M$99)-ROW(Cant!$M$2)+1)/((Cant!$M$2:$M$99&lt;&gt;"")*(Cant!$J$2:$J$99="43/1.5")*(COUNTIF($P$10:P32,Cant!$M$2:$M$99)=0)),1)),"")</f>
        <v/>
      </c>
      <c r="Q33" s="17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 cm="1">
        <f t="array" ref="R33">IFERROR(INDEX(Cant!$M$2:$M$99,_xlfn.AGGREGATE(15,6,(ROW(Cant!$M$2:$M$99)-ROW(Cant!$M$2)+1)/((Cant!$M$2:$M$99&lt;&gt;"")*(Cant!$J$2:$J$99="43/1.5")*(COUNTIF($R$10:R32,Cant!$M$2:$M$99)=0)),1)),"")</f>
        <v/>
      </c>
      <c r="S33" s="17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93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85" t="str" cm="1">
        <f t="array" ref="F34">IFERROR(INDEX(Cant!$M$2:$M$99,_xlfn.AGGREGATE(15,6,(ROW(Cant!$M$2:$M$99)-ROW(Cant!$M$2)+1)/((Cant!$M$2:$M$99&lt;&gt;"")*(COUNTIF($F$10:F33,Cant!$M$2:$M$99)=0)),1)),"")</f>
        <v/>
      </c>
      <c r="G34" s="187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98" t="str" cm="1">
        <f t="array" ref="H34">IFERROR(INDEX(Cant!$M$2:$M$99,_xlfn.AGGREGATE(15,6,(ROW(Cant!$M$2:$M$99)-ROW(Cant!$M$2)+1)/((Cant!$M$2:$M$99&lt;&gt;"")*(Cant!$J$2:$J$99="43/1.5")*(COUNTIF($H$10:H33,Cant!$M$2:$M$99)=0)),1)),"")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 cm="1">
        <f t="array" ref="J34">IFERROR(INDEX(Cant!$M$2:$M$99,_xlfn.AGGREGATE(15,6,(ROW(Cant!$M$2:$M$99)-ROW(Cant!$M$2)+1)/((Cant!$M$2:$M$99&lt;&gt;"")*(Cant!$J$2:$J$99="43/1.5")*(COUNTIF($J$10:J33,Cant!$M$2:$M$99)=0)),1)),"")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 cm="1">
        <f t="array" ref="L34">IFERROR(INDEX(Cant!$M$2:$M$99,_xlfn.AGGREGATE(15,6,(ROW(Cant!$M$2:$M$99)-ROW(Cant!$M$2)+1)/((Cant!$M$2:$M$99&lt;&gt;"")*(Cant!$J$2:$J$99="43/1.5")*(COUNTIF($L$10:L33,Cant!$M$2:$M$99)=0)),1)),"")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 cm="1">
        <f t="array" ref="N34">IFERROR(INDEX(Cant!$M$2:$M$99,_xlfn.AGGREGATE(15,6,(ROW(Cant!$M$2:$M$99)-ROW(Cant!$M$2)+1)/((Cant!$M$2:$M$99&lt;&gt;"")*(Cant!$J$2:$J$99="43/1.5")*(COUNTIF($N$10:N33,Cant!$M$2:$M$99)=0)),1)),"")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 cm="1">
        <f t="array" ref="P34">IFERROR(INDEX(Cant!$M$2:$M$99,_xlfn.AGGREGATE(15,6,(ROW(Cant!$M$2:$M$99)-ROW(Cant!$M$2)+1)/((Cant!$M$2:$M$99&lt;&gt;"")*(Cant!$J$2:$J$99="43/1.5")*(COUNTIF($P$10:P33,Cant!$M$2:$M$99)=0)),1)),"")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 cm="1">
        <f t="array" ref="R34">IFERROR(INDEX(Cant!$M$2:$M$99,_xlfn.AGGREGATE(15,6,(ROW(Cant!$M$2:$M$99)-ROW(Cant!$M$2)+1)/((Cant!$M$2:$M$99&lt;&gt;"")*(Cant!$J$2:$J$99="43/1.5")*(COUNTIF($R$10:R33,Cant!$M$2:$M$99)=0)),1)),"")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191" t="s">
        <v>80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89" t="str" cm="1">
        <f t="array" ref="F36">IFERROR(INDEX(Cant!$M$2:$M$99,_xlfn.AGGREGATE(15,6,(ROW(Cant!$M$2:$M$99)-ROW(Cant!$M$2)+1)/((Cant!$M$2:$M$99&lt;&gt;"")*(COUNTIF($F$10:F35,Cant!$M$2:$M$99)=0)),1)),"")</f>
        <v/>
      </c>
      <c r="G36" s="90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97" t="str" cm="1">
        <f t="array" ref="H36">IFERROR(INDEX(Cant!$M$2:$M$99,_xlfn.AGGREGATE(15,6,(ROW(Cant!$M$2:$M$99)-ROW(Cant!$M$2)+1)/((Cant!$M$2:$M$99&lt;&gt;"")*(Cant!$J$2:$J$99="43/1.5")*(COUNTIF($H$10:H35,Cant!$M$2:$M$99)=0)),1)),"")</f>
        <v/>
      </c>
      <c r="I36" s="171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 cm="1">
        <f t="array" ref="J36">IFERROR(INDEX(Cant!$M$2:$M$99,_xlfn.AGGREGATE(15,6,(ROW(Cant!$M$2:$M$99)-ROW(Cant!$M$2)+1)/((Cant!$M$2:$M$99&lt;&gt;"")*(Cant!$J$2:$J$99="43/1.5")*(COUNTIF($J$10:J35,Cant!$M$2:$M$99)=0)),1)),"")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 cm="1">
        <f t="array" ref="L36">IFERROR(INDEX(Cant!$M$2:$M$99,_xlfn.AGGREGATE(15,6,(ROW(Cant!$M$2:$M$99)-ROW(Cant!$M$2)+1)/((Cant!$M$2:$M$99&lt;&gt;"")*(Cant!$J$2:$J$99="43/1.5")*(COUNTIF($L$10:L35,Cant!$M$2:$M$99)=0)),1)),"")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 cm="1">
        <f t="array" ref="N36">IFERROR(INDEX(Cant!$M$2:$M$99,_xlfn.AGGREGATE(15,6,(ROW(Cant!$M$2:$M$99)-ROW(Cant!$M$2)+1)/((Cant!$M$2:$M$99&lt;&gt;"")*(Cant!$J$2:$J$99="43/1.5")*(COUNTIF($N$10:N35,Cant!$M$2:$M$99)=0)),1)),"")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 cm="1">
        <f t="array" ref="P36">IFERROR(INDEX(Cant!$M$2:$M$99,_xlfn.AGGREGATE(15,6,(ROW(Cant!$M$2:$M$99)-ROW(Cant!$M$2)+1)/((Cant!$M$2:$M$99&lt;&gt;"")*(Cant!$J$2:$J$99="43/1.5")*(COUNTIF($P$10:P35,Cant!$M$2:$M$99)=0)),1)),"")</f>
        <v/>
      </c>
      <c r="Q36" s="169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 cm="1">
        <f t="array" ref="R36">IFERROR(INDEX(Cant!$M$2:$M$99,_xlfn.AGGREGATE(15,6,(ROW(Cant!$M$2:$M$99)-ROW(Cant!$M$2)+1)/((Cant!$M$2:$M$99&lt;&gt;"")*(Cant!$J$2:$J$99="43/1.5")*(COUNTIF($R$10:R35,Cant!$M$2:$M$99)=0)),1)),"")</f>
        <v/>
      </c>
      <c r="S36" s="169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92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85" t="str" cm="1">
        <f t="array" ref="F37">IFERROR(INDEX(Cant!$M$2:$M$99,_xlfn.AGGREGATE(15,6,(ROW(Cant!$M$2:$M$99)-ROW(Cant!$M$2)+1)/((Cant!$M$2:$M$99&lt;&gt;"")*(COUNTIF($F$10:F36,Cant!$M$2:$M$99)=0)),1)),"")</f>
        <v/>
      </c>
      <c r="G37" s="187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105" t="str" cm="1">
        <f t="array" ref="H37">IFERROR(INDEX(Cant!$M$2:$M$99,_xlfn.AGGREGATE(15,6,(ROW(Cant!$M$2:$M$99)-ROW(Cant!$M$2)+1)/((Cant!$M$2:$M$99&lt;&gt;"")*(Cant!$J$2:$J$99="43/1.5")*(COUNTIF($H$10:H36,Cant!$M$2:$M$99)=0)),1)),"")</f>
        <v/>
      </c>
      <c r="I37" s="172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 cm="1">
        <f t="array" ref="J37">IFERROR(INDEX(Cant!$M$2:$M$99,_xlfn.AGGREGATE(15,6,(ROW(Cant!$M$2:$M$99)-ROW(Cant!$M$2)+1)/((Cant!$M$2:$M$99&lt;&gt;"")*(Cant!$J$2:$J$99="43/1.5")*(COUNTIF($J$10:J36,Cant!$M$2:$M$99)=0)),1)),"")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 cm="1">
        <f t="array" ref="L37">IFERROR(INDEX(Cant!$M$2:$M$99,_xlfn.AGGREGATE(15,6,(ROW(Cant!$M$2:$M$99)-ROW(Cant!$M$2)+1)/((Cant!$M$2:$M$99&lt;&gt;"")*(Cant!$J$2:$J$99="43/1.5")*(COUNTIF($L$10:L36,Cant!$M$2:$M$99)=0)),1)),"")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 cm="1">
        <f t="array" ref="N37">IFERROR(INDEX(Cant!$M$2:$M$99,_xlfn.AGGREGATE(15,6,(ROW(Cant!$M$2:$M$99)-ROW(Cant!$M$2)+1)/((Cant!$M$2:$M$99&lt;&gt;"")*(Cant!$J$2:$J$99="43/1.5")*(COUNTIF($N$10:N36,Cant!$M$2:$M$99)=0)),1)),"")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 cm="1">
        <f t="array" ref="P37">IFERROR(INDEX(Cant!$M$2:$M$99,_xlfn.AGGREGATE(15,6,(ROW(Cant!$M$2:$M$99)-ROW(Cant!$M$2)+1)/((Cant!$M$2:$M$99&lt;&gt;"")*(Cant!$J$2:$J$99="43/1.5")*(COUNTIF($P$10:P36,Cant!$M$2:$M$99)=0)),1)),"")</f>
        <v/>
      </c>
      <c r="Q37" s="17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 cm="1">
        <f t="array" ref="R37">IFERROR(INDEX(Cant!$M$2:$M$99,_xlfn.AGGREGATE(15,6,(ROW(Cant!$M$2:$M$99)-ROW(Cant!$M$2)+1)/((Cant!$M$2:$M$99&lt;&gt;"")*(Cant!$J$2:$J$99="43/1.5")*(COUNTIF($R$10:R36,Cant!$M$2:$M$99)=0)),1)),"")</f>
        <v/>
      </c>
      <c r="S37" s="17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93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91" t="str" cm="1">
        <f t="array" ref="F38">IFERROR(INDEX(Cant!$M$2:$M$99,_xlfn.AGGREGATE(15,6,(ROW(Cant!$M$2:$M$99)-ROW(Cant!$M$2)+1)/((Cant!$M$2:$M$99&lt;&gt;"")*(COUNTIF($F$10:F37,Cant!$M$2:$M$99)=0)),1)),"")</f>
        <v/>
      </c>
      <c r="G38" s="14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102" t="str" cm="1">
        <f t="array" ref="H38">IFERROR(INDEX(Cant!$M$2:$M$99,_xlfn.AGGREGATE(15,6,(ROW(Cant!$M$2:$M$99)-ROW(Cant!$M$2)+1)/((Cant!$M$2:$M$99&lt;&gt;"")*(Cant!$J$2:$J$99="43/1.5")*(COUNTIF($H$10:H37,Cant!$M$2:$M$99)=0)),1)),"")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 cm="1">
        <f t="array" ref="J38">IFERROR(INDEX(Cant!$M$2:$M$99,_xlfn.AGGREGATE(15,6,(ROW(Cant!$M$2:$M$99)-ROW(Cant!$M$2)+1)/((Cant!$M$2:$M$99&lt;&gt;"")*(Cant!$J$2:$J$99="43/1.5")*(COUNTIF($J$10:J37,Cant!$M$2:$M$99)=0)),1)),"")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 cm="1">
        <f t="array" ref="L38">IFERROR(INDEX(Cant!$M$2:$M$99,_xlfn.AGGREGATE(15,6,(ROW(Cant!$M$2:$M$99)-ROW(Cant!$M$2)+1)/((Cant!$M$2:$M$99&lt;&gt;"")*(Cant!$J$2:$J$99="43/1.5")*(COUNTIF($L$10:L37,Cant!$M$2:$M$99)=0)),1)),"")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 cm="1">
        <f t="array" ref="N38">IFERROR(INDEX(Cant!$M$2:$M$99,_xlfn.AGGREGATE(15,6,(ROW(Cant!$M$2:$M$99)-ROW(Cant!$M$2)+1)/((Cant!$M$2:$M$99&lt;&gt;"")*(Cant!$J$2:$J$99="43/1.5")*(COUNTIF($N$10:N37,Cant!$M$2:$M$99)=0)),1)),"")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 cm="1">
        <f t="array" ref="P38">IFERROR(INDEX(Cant!$M$2:$M$99,_xlfn.AGGREGATE(15,6,(ROW(Cant!$M$2:$M$99)-ROW(Cant!$M$2)+1)/((Cant!$M$2:$M$99&lt;&gt;"")*(Cant!$J$2:$J$99="43/1.5")*(COUNTIF($P$10:P37,Cant!$M$2:$M$99)=0)),1)),"")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 cm="1">
        <f t="array" ref="R38">IFERROR(INDEX(Cant!$M$2:$M$99,_xlfn.AGGREGATE(15,6,(ROW(Cant!$M$2:$M$99)-ROW(Cant!$M$2)+1)/((Cant!$M$2:$M$99&lt;&gt;"")*(Cant!$J$2:$J$99="43/1.5")*(COUNTIF($R$10:R37,Cant!$M$2:$M$99)=0)),1)),"")</f>
        <v/>
      </c>
      <c r="S38" s="170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01" t="s">
        <v>50</v>
      </c>
      <c r="B40" s="32" t="s">
        <v>67</v>
      </c>
      <c r="C40" s="32" t="s">
        <v>71</v>
      </c>
      <c r="D40" s="18" t="s">
        <v>51</v>
      </c>
      <c r="F40" s="198" t="s">
        <v>72</v>
      </c>
      <c r="G40" s="199"/>
      <c r="H40" s="199"/>
      <c r="I40" s="199"/>
      <c r="J40" s="199"/>
      <c r="K40" s="199"/>
      <c r="L40" s="199"/>
      <c r="M40" s="199"/>
      <c r="N40" s="199"/>
      <c r="O40" s="199"/>
      <c r="P40" s="199"/>
      <c r="Q40" s="199"/>
      <c r="R40" s="199"/>
      <c r="S40" s="200"/>
    </row>
    <row r="41" spans="1:19" ht="15.75" thickBot="1">
      <c r="A41" s="202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53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81</v>
      </c>
      <c r="O41" s="60">
        <f>SUM(O11:O29)+SUM(O32:O38)</f>
        <v>0</v>
      </c>
      <c r="P41" s="46" t="s">
        <v>68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02"/>
      <c r="B42" s="50" t="s">
        <v>89</v>
      </c>
      <c r="C42" s="37" t="str">
        <f>IF(SUMIF(Taiere!I2:I99,"CLEAF",Taiere!C2:C99)=0,"",(SUMIF(Taiere!I2:I99,"CLEAF",Taiere!C2:C99)))</f>
        <v/>
      </c>
      <c r="D42" s="74" t="s">
        <v>53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205">
        <f>IF(COUNTIF(Deco!AA2:AA34,"Vezi EK")&gt;0,0,1)</f>
        <v>1</v>
      </c>
    </row>
    <row r="43" spans="1:19" ht="15.75" thickBot="1">
      <c r="A43" s="202"/>
      <c r="B43" s="50" t="s">
        <v>83</v>
      </c>
      <c r="C43" s="30" t="str">
        <f>IF(SUMIF(B32:B34, "*/600", C32:C34) + SUMIF(B32:B34, "*/650", C32:C34)=0, "",SUMIF(B32:B34, "*/600", C32:C34) + SUMIF(B32:B34, "*/650", C32:C34))</f>
        <v/>
      </c>
      <c r="D43" s="74" t="s">
        <v>54</v>
      </c>
      <c r="E43" s="2"/>
      <c r="F43" s="259" t="str">
        <f>IF(COUNTIF(Deco!AA2:AA34,"Vezi EK")&gt;0,"Atentie! Verifica EK dublaje","Nr. Piese Dublaje")</f>
        <v>Nr. Piese Dublaje</v>
      </c>
      <c r="G43" s="260"/>
      <c r="H43" s="260"/>
      <c r="I43" s="260"/>
      <c r="J43" s="260"/>
      <c r="K43" s="260"/>
      <c r="L43" s="260"/>
      <c r="M43" s="260"/>
      <c r="N43" s="260"/>
      <c r="O43" s="260"/>
      <c r="P43" s="260"/>
      <c r="Q43" s="260"/>
      <c r="R43" s="260"/>
      <c r="S43" s="206"/>
    </row>
    <row r="44" spans="1:19">
      <c r="A44" s="202"/>
      <c r="B44" s="50" t="s">
        <v>88</v>
      </c>
      <c r="C44" s="30" t="str">
        <f>IF(SUMIF(B32:B34, "*/920", C32:C34)=0, "",SUMIF(B32:B34, "*/920", C32:C34))</f>
        <v/>
      </c>
      <c r="D44" s="74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02"/>
      <c r="B45" s="33" t="s">
        <v>90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02"/>
      <c r="B46" s="33" t="s">
        <v>84</v>
      </c>
      <c r="C46" s="30" t="str">
        <f>IF(B30&lt;&gt;"",INDEX(Deco!$C$2:$C$99,MATCH(B30,Deco!$Y$2:$Y$99,0)),"")</f>
        <v/>
      </c>
      <c r="D46" s="74" t="s">
        <v>54</v>
      </c>
      <c r="E46" s="2"/>
    </row>
    <row r="47" spans="1:19">
      <c r="A47" s="202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53</v>
      </c>
      <c r="F47" s="205" t="s">
        <v>34</v>
      </c>
      <c r="G47" s="247" t="str">
        <f>IF(I6="PLAN M",SUM(C11:C28), "N/A")</f>
        <v>N/A</v>
      </c>
      <c r="J47" s="205" t="s">
        <v>87</v>
      </c>
      <c r="K47" s="245">
        <v>1</v>
      </c>
      <c r="N47" s="205" t="s">
        <v>109</v>
      </c>
      <c r="O47" s="208"/>
      <c r="P47" s="209"/>
      <c r="R47" s="205" t="s">
        <v>115</v>
      </c>
      <c r="S47" s="205"/>
    </row>
    <row r="48" spans="1:19" ht="15.75" thickBot="1">
      <c r="A48" s="204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54</v>
      </c>
      <c r="F48" s="207"/>
      <c r="G48" s="248"/>
      <c r="J48" s="207"/>
      <c r="K48" s="246"/>
      <c r="N48" s="206"/>
      <c r="O48" s="210"/>
      <c r="P48" s="211"/>
      <c r="R48" s="206"/>
      <c r="S48" s="207"/>
    </row>
    <row r="49" spans="1:19" ht="2.1" hidden="1" customHeight="1">
      <c r="A49" s="40"/>
      <c r="B49" s="41"/>
      <c r="C49" s="1"/>
      <c r="D49" s="2"/>
    </row>
    <row r="50" spans="1:19">
      <c r="A50" s="188" t="s">
        <v>65</v>
      </c>
      <c r="B50" s="173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5"/>
    </row>
    <row r="51" spans="1:19">
      <c r="A51" s="189"/>
      <c r="B51" s="176"/>
      <c r="C51" s="178"/>
      <c r="D51" s="178"/>
      <c r="E51" s="178"/>
      <c r="F51" s="178"/>
      <c r="G51" s="178"/>
      <c r="H51" s="178"/>
      <c r="I51" s="178"/>
      <c r="J51" s="178"/>
      <c r="K51" s="178"/>
      <c r="L51" s="178"/>
      <c r="M51" s="178"/>
      <c r="N51" s="178"/>
      <c r="O51" s="178"/>
      <c r="P51" s="178"/>
      <c r="Q51" s="178"/>
      <c r="R51" s="178"/>
      <c r="S51" s="177"/>
    </row>
    <row r="52" spans="1:19">
      <c r="A52" s="189"/>
      <c r="B52" s="176"/>
      <c r="C52" s="178"/>
      <c r="D52" s="178"/>
      <c r="E52" s="178"/>
      <c r="F52" s="178"/>
      <c r="G52" s="178"/>
      <c r="H52" s="178"/>
      <c r="I52" s="178"/>
      <c r="J52" s="178"/>
      <c r="K52" s="178"/>
      <c r="L52" s="178"/>
      <c r="M52" s="178"/>
      <c r="N52" s="178"/>
      <c r="O52" s="178"/>
      <c r="P52" s="178"/>
      <c r="Q52" s="178"/>
      <c r="R52" s="178"/>
      <c r="S52" s="177"/>
    </row>
    <row r="53" spans="1:19">
      <c r="A53" s="189"/>
      <c r="B53" s="176"/>
      <c r="C53" s="178"/>
      <c r="D53" s="178"/>
      <c r="E53" s="178"/>
      <c r="F53" s="178"/>
      <c r="G53" s="178"/>
      <c r="H53" s="178"/>
      <c r="I53" s="178"/>
      <c r="J53" s="178"/>
      <c r="K53" s="178"/>
      <c r="L53" s="178"/>
      <c r="M53" s="178"/>
      <c r="N53" s="178"/>
      <c r="O53" s="178"/>
      <c r="P53" s="178"/>
      <c r="Q53" s="178"/>
      <c r="R53" s="178"/>
      <c r="S53" s="177"/>
    </row>
    <row r="54" spans="1:19">
      <c r="A54" s="189"/>
      <c r="B54" s="176"/>
      <c r="C54" s="178"/>
      <c r="D54" s="178"/>
      <c r="E54" s="178"/>
      <c r="F54" s="178"/>
      <c r="G54" s="178"/>
      <c r="H54" s="178"/>
      <c r="I54" s="178"/>
      <c r="J54" s="178"/>
      <c r="K54" s="178"/>
      <c r="L54" s="178"/>
      <c r="M54" s="178"/>
      <c r="N54" s="178"/>
      <c r="O54" s="178"/>
      <c r="P54" s="178"/>
      <c r="Q54" s="178"/>
      <c r="R54" s="178"/>
      <c r="S54" s="177"/>
    </row>
    <row r="55" spans="1:19">
      <c r="A55" s="189"/>
      <c r="B55" s="176"/>
      <c r="C55" s="178"/>
      <c r="D55" s="178"/>
      <c r="E55" s="178"/>
      <c r="F55" s="178"/>
      <c r="G55" s="178"/>
      <c r="H55" s="178"/>
      <c r="I55" s="178"/>
      <c r="J55" s="178"/>
      <c r="K55" s="178"/>
      <c r="L55" s="178"/>
      <c r="M55" s="178"/>
      <c r="N55" s="178"/>
      <c r="O55" s="178"/>
      <c r="P55" s="178"/>
      <c r="Q55" s="178"/>
      <c r="R55" s="178"/>
      <c r="S55" s="177"/>
    </row>
    <row r="56" spans="1:19">
      <c r="A56" s="189"/>
      <c r="B56" s="176"/>
      <c r="C56" s="178"/>
      <c r="D56" s="178"/>
      <c r="E56" s="178"/>
      <c r="F56" s="178"/>
      <c r="G56" s="178"/>
      <c r="H56" s="178"/>
      <c r="I56" s="178"/>
      <c r="J56" s="178"/>
      <c r="K56" s="178"/>
      <c r="L56" s="178"/>
      <c r="M56" s="178"/>
      <c r="N56" s="178"/>
      <c r="O56" s="178"/>
      <c r="P56" s="178"/>
      <c r="Q56" s="178"/>
      <c r="R56" s="178"/>
      <c r="S56" s="177"/>
    </row>
    <row r="57" spans="1:19">
      <c r="A57" s="189"/>
      <c r="B57" s="176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78"/>
      <c r="Q57" s="178"/>
      <c r="R57" s="178"/>
      <c r="S57" s="177"/>
    </row>
    <row r="58" spans="1:19">
      <c r="A58" s="189"/>
      <c r="B58" s="179"/>
      <c r="S58" s="180"/>
    </row>
    <row r="59" spans="1:19">
      <c r="A59" s="189"/>
      <c r="B59" s="179"/>
      <c r="S59" s="180"/>
    </row>
    <row r="60" spans="1:19">
      <c r="A60" s="189"/>
      <c r="B60" s="179"/>
      <c r="S60" s="180"/>
    </row>
    <row r="61" spans="1:19">
      <c r="A61" s="189"/>
      <c r="B61" s="179"/>
      <c r="S61" s="180"/>
    </row>
    <row r="62" spans="1:19">
      <c r="A62" s="189"/>
      <c r="B62" s="179"/>
      <c r="S62" s="180"/>
    </row>
    <row r="63" spans="1:19">
      <c r="A63" s="189"/>
      <c r="B63" s="179"/>
      <c r="S63" s="180"/>
    </row>
    <row r="64" spans="1:19">
      <c r="A64" s="189"/>
      <c r="B64" s="179"/>
      <c r="S64" s="180"/>
    </row>
    <row r="65" spans="1:19">
      <c r="A65" s="189"/>
      <c r="B65" s="179"/>
      <c r="S65" s="180"/>
    </row>
    <row r="66" spans="1:19">
      <c r="A66" s="189"/>
      <c r="B66" s="179"/>
      <c r="S66" s="180"/>
    </row>
    <row r="67" spans="1:19">
      <c r="A67" s="189"/>
      <c r="B67" s="179"/>
      <c r="S67" s="180"/>
    </row>
    <row r="68" spans="1:19" ht="15.75" thickBot="1">
      <c r="A68" s="190"/>
      <c r="B68" s="181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2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8" t="s">
        <v>14</v>
      </c>
      <c r="B1" s="268"/>
      <c r="C1" s="268"/>
      <c r="D1" s="268"/>
      <c r="E1" s="268"/>
      <c r="F1" s="268"/>
      <c r="G1" s="268"/>
      <c r="H1" s="268"/>
      <c r="I1" s="268"/>
      <c r="J1" s="268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9">
        <f>Fisa!B3:D3</f>
        <v>0</v>
      </c>
      <c r="C3" s="269"/>
      <c r="D3" s="269"/>
      <c r="E3" s="269"/>
      <c r="F3" s="269"/>
      <c r="G3" s="269"/>
      <c r="H3" s="5"/>
      <c r="I3" s="5"/>
      <c r="J3" s="5"/>
      <c r="K3" s="5"/>
      <c r="L3" s="5"/>
    </row>
    <row r="4" spans="1:12" customFormat="1">
      <c r="A4" s="6" t="s">
        <v>7</v>
      </c>
      <c r="B4" s="270">
        <f>Fisa!B6</f>
        <v>0</v>
      </c>
      <c r="C4" s="270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W30" sqref="W30"/>
    </sheetView>
  </sheetViews>
  <sheetFormatPr defaultRowHeight="15"/>
  <cols>
    <col min="1" max="1" width="22.42578125" bestFit="1" customWidth="1"/>
    <col min="18" max="18" width="9.140625" style="165"/>
    <col min="20" max="20" width="9.140625" customWidth="1"/>
    <col min="21" max="21" width="4.140625" customWidth="1"/>
    <col min="22" max="22" width="9.140625" style="168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68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66"/>
      <c r="S2" s="163"/>
      <c r="T2" s="145"/>
      <c r="U2" s="145"/>
      <c r="V2" s="168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NOT(ISNUMBER(FIND(" TM",A2)))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AND(
                        OR(
                            AND(D2=2800,E2=2070,OR(B2=38,B2=38.6)),
                            AND(D2=2800,E2=1220,B2=36),
                            AND(D2=3050,E2=1300,B2=38.6),
                            AND(D2=2800,E2=1300,B2=35),
                            AND(D2=2800,E2=1300,B2=38),
                            AND(RIGHT(A2,6)="MDF 3D",B2=36)
                        ),
                        NOT(ISNUMBER(FIND(" TM",A2)))
                    ),
                    "DB MDF",
                    IF(
                        AND(
                            D2=2800,
                            E2=2070,
                            OR(B2=36,B2=37.2,B2=32,B2=26,B2=28),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6"/>
      <c r="S3" s="163"/>
      <c r="T3" s="131"/>
      <c r="U3" s="145"/>
      <c r="V3" s="168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NOT(ISNUMBER(FIND(" TM",A3)))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AND(
                        OR(
                            AND(D3=2800,E3=2070,OR(B3=38,B3=38.6)),
                            AND(D3=2800,E3=1220,B3=36),
                            AND(D3=3050,E3=1300,B3=38.6),
                            AND(D3=2800,E3=1300,B3=35),
                            AND(D3=2800,E3=1300,B3=38),
                            AND(RIGHT(A3,6)="MDF 3D",B3=36)
                        ),
                        NOT(ISNUMBER(FIND(" TM",A3)))
                    ),
                    "DB MDF",
                    IF(
                        AND(
                            D3=2800,
                            E3=2070,
                            OR(B3=36,B3=37.2,B3=32,B3=26,B3=28),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6"/>
      <c r="S4" s="163"/>
      <c r="T4" s="145"/>
      <c r="U4" s="131"/>
      <c r="V4" s="168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6"/>
      <c r="S5" s="163"/>
      <c r="T5" s="145"/>
      <c r="U5" s="131"/>
      <c r="V5" s="168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6"/>
      <c r="S6" s="163"/>
      <c r="T6" s="145"/>
      <c r="U6" s="131"/>
      <c r="V6" s="168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6"/>
      <c r="S7" s="163"/>
      <c r="T7" s="131"/>
      <c r="U7" s="131"/>
      <c r="V7" s="168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6"/>
      <c r="S8" s="163"/>
      <c r="T8" s="145"/>
      <c r="U8" s="131"/>
      <c r="V8" s="168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6"/>
      <c r="S9" s="163"/>
      <c r="T9" s="145"/>
      <c r="U9" s="129"/>
      <c r="V9" s="168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6"/>
      <c r="S10" s="163"/>
      <c r="T10" s="145"/>
      <c r="U10" s="145"/>
      <c r="V10" s="168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6"/>
      <c r="S11" s="163"/>
      <c r="T11" s="145"/>
      <c r="U11" s="145"/>
      <c r="V11" s="168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6"/>
      <c r="S12" s="132"/>
      <c r="T12" s="132"/>
      <c r="U12" s="132"/>
      <c r="V12" s="168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6"/>
      <c r="S13" s="159"/>
      <c r="T13" s="158"/>
      <c r="U13" s="164"/>
      <c r="V13" s="168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6"/>
      <c r="S14" s="158"/>
      <c r="T14" s="159"/>
      <c r="U14" s="164"/>
      <c r="V14" s="168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6"/>
      <c r="S15" s="159"/>
      <c r="T15" s="159"/>
      <c r="U15" s="132"/>
      <c r="V15" s="168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7"/>
      <c r="S16" s="159"/>
      <c r="T16" s="159"/>
      <c r="U16" s="131"/>
      <c r="V16" s="168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7"/>
      <c r="S17" s="159"/>
      <c r="T17" s="159"/>
      <c r="U17" s="131"/>
      <c r="V17" s="168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3"/>
      <c r="B18" s="154"/>
      <c r="C18" s="155"/>
      <c r="D18" s="156"/>
      <c r="E18" s="156"/>
      <c r="F18" s="157"/>
      <c r="G18" s="154"/>
      <c r="H18" s="158"/>
      <c r="I18" s="154"/>
      <c r="J18" s="159"/>
      <c r="K18" s="162"/>
      <c r="L18" s="162"/>
      <c r="M18" s="158"/>
      <c r="N18" s="162"/>
      <c r="O18" s="162"/>
      <c r="P18" s="158"/>
      <c r="Q18" s="162"/>
      <c r="R18" s="167"/>
      <c r="S18" s="159"/>
      <c r="T18" s="159"/>
      <c r="U18" s="131"/>
      <c r="V18" s="168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3"/>
      <c r="B19" s="154"/>
      <c r="C19" s="155"/>
      <c r="D19" s="156"/>
      <c r="E19" s="156"/>
      <c r="F19" s="157"/>
      <c r="G19" s="154"/>
      <c r="H19" s="158"/>
      <c r="I19" s="154"/>
      <c r="J19" s="158"/>
      <c r="K19" s="162"/>
      <c r="L19" s="162"/>
      <c r="M19" s="160"/>
      <c r="N19" s="162"/>
      <c r="O19" s="162"/>
      <c r="P19" s="159"/>
      <c r="Q19" s="162"/>
      <c r="R19" s="167"/>
      <c r="S19" s="159"/>
      <c r="T19" s="159"/>
      <c r="V19" s="168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3"/>
      <c r="B20" s="154"/>
      <c r="C20" s="155"/>
      <c r="D20" s="156"/>
      <c r="E20" s="156"/>
      <c r="F20" s="161"/>
      <c r="G20" s="154"/>
      <c r="H20" s="158"/>
      <c r="I20" s="154"/>
      <c r="J20" s="159"/>
      <c r="K20" s="162"/>
      <c r="L20" s="162"/>
      <c r="M20" s="160"/>
      <c r="N20" s="162"/>
      <c r="O20" s="162"/>
      <c r="P20" s="158"/>
      <c r="Q20" s="162"/>
      <c r="R20" s="167"/>
      <c r="S20" s="158"/>
      <c r="T20" s="154"/>
      <c r="V20" s="168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3"/>
      <c r="B21" s="154"/>
      <c r="C21" s="155"/>
      <c r="D21" s="156"/>
      <c r="E21" s="156"/>
      <c r="F21" s="157"/>
      <c r="G21" s="154"/>
      <c r="H21" s="159"/>
      <c r="I21" s="154"/>
      <c r="J21" s="159"/>
      <c r="K21" s="162"/>
      <c r="L21" s="162"/>
      <c r="M21" s="159"/>
      <c r="N21" s="162"/>
      <c r="O21" s="162"/>
      <c r="P21" s="159"/>
      <c r="Q21" s="162"/>
      <c r="R21" s="167"/>
      <c r="S21" s="159"/>
      <c r="T21" s="158"/>
      <c r="V21" s="168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8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8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8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8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8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8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8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8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8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8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8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8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8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2"/>
      <c r="B15" s="151"/>
      <c r="C15" s="151"/>
      <c r="D15" s="151"/>
      <c r="E15" s="151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2026-08-07T14:01:45Z</dcterms:modified>
</cp:coreProperties>
</file>