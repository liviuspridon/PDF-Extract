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DA8104A4-193C-480D-B52C-C29568EDB2F6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" i="6" l="1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C47" i="6"/>
  <c r="C42" i="6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F34" i="6" l="1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<sst xmlns="http://schemas.openxmlformats.org/spreadsheetml/2006/main" count="204" uniqueCount="117">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</sst>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186" t="s">
        <v>36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8"/>
      <c r="M1" s="38" t="s">
        <v>70</v>
      </c>
      <c r="N1" s="39" t="s">
        <v>64</v>
      </c>
      <c r="O1" s="177" t="s">
        <v>69</v>
      </c>
      <c r="P1" s="178"/>
      <c r="Q1" s="178"/>
      <c r="R1" s="178"/>
      <c r="S1" s="179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80"/>
      <c r="P2" s="181"/>
      <c r="Q2" s="181"/>
      <c r="R2" s="181"/>
      <c r="S2" s="182"/>
    </row>
    <row r="3" spans="1:19">
      <c r="A3" s="20" t="s">
        <v>49</v>
      </c>
      <c r="B3" s="192"/>
      <c r="C3" s="193"/>
      <c r="D3" s="194"/>
      <c r="H3" s="20" t="s">
        <v>59</v>
      </c>
      <c r="I3" s="199"/>
      <c r="J3" s="200"/>
      <c r="K3" s="201"/>
      <c r="M3" s="27">
        <v>2</v>
      </c>
      <c r="N3" s="73"/>
      <c r="O3" s="189"/>
      <c r="P3" s="190"/>
      <c r="Q3" s="190"/>
      <c r="R3" s="190"/>
      <c r="S3" s="191"/>
    </row>
    <row r="4" spans="1:19">
      <c r="A4" s="21" t="s">
        <v>47</v>
      </c>
      <c r="B4" s="171"/>
      <c r="C4" s="172"/>
      <c r="D4" s="173"/>
      <c r="H4" s="21" t="s">
        <v>60</v>
      </c>
      <c r="I4" s="174"/>
      <c r="J4" s="175"/>
      <c r="K4" s="176"/>
      <c r="M4" s="27">
        <v>3</v>
      </c>
      <c r="N4" s="73"/>
      <c r="O4" s="189"/>
      <c r="P4" s="190"/>
      <c r="Q4" s="190"/>
      <c r="R4" s="190"/>
      <c r="S4" s="191"/>
    </row>
    <row r="5" spans="1:19">
      <c r="A5" s="21" t="s">
        <v>48</v>
      </c>
      <c r="B5" s="195"/>
      <c r="C5" s="196"/>
      <c r="D5" s="197"/>
      <c r="H5" s="21" t="s">
        <v>61</v>
      </c>
      <c r="I5" s="198"/>
      <c r="J5" s="190"/>
      <c r="K5" s="191"/>
      <c r="M5" s="27">
        <v>4</v>
      </c>
      <c r="N5" s="73"/>
      <c r="O5" s="189"/>
      <c r="P5" s="190"/>
      <c r="Q5" s="190"/>
      <c r="R5" s="190"/>
      <c r="S5" s="191"/>
    </row>
    <row r="6" spans="1:19" ht="15.75" thickBot="1">
      <c r="A6" s="22" t="s">
        <v>7</v>
      </c>
      <c r="B6" s="206"/>
      <c r="C6" s="207"/>
      <c r="D6" s="208"/>
      <c r="H6" s="22" t="s">
        <v>62</v>
      </c>
      <c r="I6" s="209"/>
      <c r="J6" s="184"/>
      <c r="K6" s="185"/>
      <c r="M6" s="28">
        <v>5</v>
      </c>
      <c r="N6" s="74"/>
      <c r="O6" s="183"/>
      <c r="P6" s="184"/>
      <c r="Q6" s="184"/>
      <c r="R6" s="184"/>
      <c r="S6" s="185"/>
    </row>
    <row r="7" spans="1:19" s="50" customFormat="1" ht="2.1" hidden="1" customHeight="1" thickBot="1"/>
    <row r="8" spans="1:19" ht="15.75" customHeight="1" thickBot="1">
      <c r="A8" s="210" t="s">
        <v>1</v>
      </c>
      <c r="B8" s="211"/>
      <c r="C8" s="211"/>
      <c r="D8" s="212"/>
      <c r="F8" s="216" t="s">
        <v>73</v>
      </c>
      <c r="G8" s="217"/>
      <c r="H8" s="217"/>
      <c r="I8" s="217"/>
      <c r="J8" s="217"/>
      <c r="K8" s="217"/>
      <c r="L8" s="217"/>
      <c r="M8" s="217"/>
      <c r="N8" s="217"/>
      <c r="O8" s="217"/>
      <c r="P8" s="217"/>
      <c r="Q8" s="217"/>
      <c r="R8" s="217"/>
      <c r="S8" s="222"/>
    </row>
    <row r="9" spans="1:19" ht="15.75" thickBot="1">
      <c r="A9" s="213"/>
      <c r="B9" s="214"/>
      <c r="C9" s="214"/>
      <c r="D9" s="215"/>
      <c r="F9" s="153" t="s">
        <v>28</v>
      </c>
      <c r="G9" s="154"/>
      <c r="H9" s="169" t="s">
        <v>29</v>
      </c>
      <c r="I9" s="170"/>
      <c r="J9" s="151" t="s">
        <v>16</v>
      </c>
      <c r="K9" s="152"/>
      <c r="L9" s="223" t="s">
        <v>19</v>
      </c>
      <c r="M9" s="224"/>
      <c r="N9" s="220" t="s">
        <v>81</v>
      </c>
      <c r="O9" s="221"/>
      <c r="P9" s="218" t="s">
        <v>68</v>
      </c>
      <c r="Q9" s="219"/>
      <c r="R9" s="220" t="s">
        <v>18</v>
      </c>
      <c r="S9" s="221"/>
    </row>
    <row r="10" spans="1:19" ht="15.75" thickBot="1">
      <c r="A10" s="158" t="s">
        <v>9</v>
      </c>
      <c r="B10" s="23" t="s">
        <v>63</v>
      </c>
      <c r="C10" s="23" t="s">
        <v>71</v>
      </c>
      <c r="D10" s="23" t="s">
        <v>51</v>
      </c>
      <c r="E10" s="2"/>
      <c r="F10" s="228" t="s">
        <v>63</v>
      </c>
      <c r="G10" s="228" t="s">
        <v>71</v>
      </c>
      <c r="H10" s="229" t="s">
        <v>63</v>
      </c>
      <c r="I10" s="229" t="s">
        <v>71</v>
      </c>
      <c r="J10" s="230" t="s">
        <v>63</v>
      </c>
      <c r="K10" s="230" t="s">
        <v>71</v>
      </c>
      <c r="L10" s="231" t="s">
        <v>63</v>
      </c>
      <c r="M10" s="231" t="s">
        <v>71</v>
      </c>
      <c r="N10" s="32" t="s">
        <v>63</v>
      </c>
      <c r="O10" s="32" t="s">
        <v>71</v>
      </c>
      <c r="P10" s="32" t="s">
        <v>63</v>
      </c>
      <c r="Q10" s="232" t="s">
        <v>71</v>
      </c>
      <c r="R10" s="32" t="s">
        <v>63</v>
      </c>
      <c r="S10" s="32" t="s">
        <v>71</v>
      </c>
    </row>
    <row r="11" spans="1:19">
      <c r="A11" s="159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59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233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59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233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59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233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59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233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59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233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59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233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59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233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59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233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59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233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59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233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60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233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233"/>
      <c r="G23" s="81"/>
      <c r="H23" s="85" t="str">
        <f t="shared" si="0"/>
        <v/>
      </c>
      <c r="I23" s="236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240"/>
      <c r="P23" s="67" t="str">
        <f t="shared" si="4"/>
        <v/>
      </c>
      <c r="Q23" s="240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58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233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59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233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59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233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59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233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61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233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234"/>
      <c r="G29" s="235"/>
      <c r="H29" s="85" t="str">
        <f t="shared" si="0"/>
        <v/>
      </c>
      <c r="I29" s="237"/>
      <c r="J29" s="90" t="str">
        <f t="shared" si="1"/>
        <v/>
      </c>
      <c r="K29" s="238"/>
      <c r="L29" s="95" t="str">
        <f t="shared" si="2"/>
        <v/>
      </c>
      <c r="M29" s="239"/>
      <c r="N29" s="67" t="str">
        <f t="shared" si="3"/>
        <v/>
      </c>
      <c r="O29" s="241"/>
      <c r="P29" s="67" t="str">
        <f t="shared" si="4"/>
        <v/>
      </c>
      <c r="Q29" s="241"/>
      <c r="R29" s="67" t="str">
        <f t="shared" si="5"/>
        <v/>
      </c>
      <c r="S29" s="242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233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240"/>
      <c r="P30" s="67" t="str">
        <f t="shared" si="4"/>
        <v/>
      </c>
      <c r="Q30" s="240"/>
      <c r="R30" s="67" t="str">
        <f t="shared" si="5"/>
        <v/>
      </c>
      <c r="S30" s="242"/>
    </row>
    <row r="31" spans="1:19" ht="2.1" hidden="1" customHeight="1" thickBot="1">
      <c r="A31" s="54"/>
      <c r="B31" s="62"/>
      <c r="C31" s="48"/>
      <c r="D31" s="63"/>
      <c r="E31" s="48"/>
      <c r="F31" s="233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240"/>
      <c r="P31" s="67" t="str">
        <f t="shared" si="4"/>
        <v/>
      </c>
      <c r="Q31" s="240"/>
      <c r="R31" s="67" t="str">
        <f t="shared" si="5"/>
        <v/>
      </c>
      <c r="S31" s="243"/>
    </row>
    <row r="32" spans="1:19" ht="15.75" customHeight="1">
      <c r="A32" s="148" t="s">
        <v>79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233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49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233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50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233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233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240"/>
      <c r="P35" s="67" t="str">
        <f t="shared" si="4"/>
        <v/>
      </c>
      <c r="Q35" s="240"/>
      <c r="R35" s="67" t="str">
        <f t="shared" si="5"/>
        <v/>
      </c>
      <c r="S35" s="244"/>
    </row>
    <row r="36" spans="1:19">
      <c r="A36" s="148" t="s">
        <v>80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233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49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233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50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58" t="s">
        <v>50</v>
      </c>
      <c r="B40" s="32" t="s">
        <v>67</v>
      </c>
      <c r="C40" s="32" t="s">
        <v>71</v>
      </c>
      <c r="D40" s="18" t="s">
        <v>51</v>
      </c>
      <c r="F40" s="155" t="s">
        <v>72</v>
      </c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7"/>
    </row>
    <row r="41" spans="1:19" ht="15.75" thickBot="1">
      <c r="A41" s="159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81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59"/>
      <c r="B42" s="49" t="s">
        <v>89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159"/>
      <c r="B43" s="49" t="s">
        <v>83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16" t="str">
        <f>IF(COUNTIF(Deco!AA2:AA34,"Vezi EK")&gt;0,"Atentie! Verifica EK dublaje","Nr. Piese Dublaje")</f>
        <v>Nr. Piese Dublaje</v>
      </c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163"/>
    </row>
    <row r="44" spans="1:19">
      <c r="A44" s="159"/>
      <c r="B44" s="49" t="s">
        <v>88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59"/>
      <c r="B45" s="33" t="s">
        <v>90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59"/>
      <c r="B46" s="33" t="s">
        <v>84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59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204" t="str">
        <f>IF(I6="PLAN M",SUM(C11:C28), "N/A")</f>
        <v>N/A</v>
      </c>
      <c r="J47" s="162" t="s">
        <v>87</v>
      </c>
      <c r="K47" s="202">
        <v>1</v>
      </c>
      <c r="N47" s="162" t="s">
        <v>109</v>
      </c>
      <c r="O47" s="165"/>
      <c r="P47" s="166"/>
      <c r="R47" s="162" t="s">
        <v>115</v>
      </c>
      <c r="S47" s="162"/>
    </row>
    <row r="48" spans="1:19" ht="15.75" thickBot="1">
      <c r="A48" s="161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4"/>
      <c r="G48" s="205"/>
      <c r="J48" s="164"/>
      <c r="K48" s="203"/>
      <c r="N48" s="163"/>
      <c r="O48" s="167"/>
      <c r="P48" s="168"/>
      <c r="R48" s="163"/>
      <c r="S48" s="164"/>
    </row>
    <row r="49" spans="1:19" ht="2.1" hidden="1" customHeight="1">
      <c r="A49" s="40"/>
      <c r="B49" s="41"/>
      <c r="C49" s="1"/>
      <c r="D49" s="2"/>
    </row>
    <row r="50" spans="1:19">
      <c r="A50" s="145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46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46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46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46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46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46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46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46"/>
      <c r="B58" s="140"/>
      <c r="S58" s="141"/>
    </row>
    <row r="59" spans="1:19">
      <c r="A59" s="146"/>
      <c r="B59" s="140"/>
      <c r="S59" s="141"/>
    </row>
    <row r="60" spans="1:19">
      <c r="A60" s="146"/>
      <c r="B60" s="140"/>
      <c r="S60" s="141"/>
    </row>
    <row r="61" spans="1:19">
      <c r="A61" s="146"/>
      <c r="B61" s="140"/>
      <c r="S61" s="141"/>
    </row>
    <row r="62" spans="1:19">
      <c r="A62" s="146"/>
      <c r="B62" s="140"/>
      <c r="S62" s="141"/>
    </row>
    <row r="63" spans="1:19">
      <c r="A63" s="146"/>
      <c r="B63" s="140"/>
      <c r="S63" s="141"/>
    </row>
    <row r="64" spans="1:19">
      <c r="A64" s="146"/>
      <c r="B64" s="140"/>
      <c r="S64" s="141"/>
    </row>
    <row r="65" spans="1:19">
      <c r="A65" s="146"/>
      <c r="B65" s="140"/>
      <c r="S65" s="141"/>
    </row>
    <row r="66" spans="1:19">
      <c r="A66" s="146"/>
      <c r="B66" s="140"/>
      <c r="S66" s="141"/>
    </row>
    <row r="67" spans="1:19">
      <c r="A67" s="146"/>
      <c r="B67" s="140"/>
      <c r="S67" s="141"/>
    </row>
    <row r="68" spans="1:19" ht="15.75" thickBot="1">
      <c r="A68" s="147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25" t="s">
        <v>14</v>
      </c>
      <c r="B1" s="225"/>
      <c r="C1" s="225"/>
      <c r="D1" s="225"/>
      <c r="E1" s="225"/>
      <c r="F1" s="225"/>
      <c r="G1" s="225"/>
      <c r="H1" s="225"/>
      <c r="I1" s="225"/>
      <c r="J1" s="225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26">
        <f>Fisa!B3:D3</f>
        <v>0</v>
      </c>
      <c r="C3" s="226"/>
      <c r="D3" s="226"/>
      <c r="E3" s="226"/>
      <c r="F3" s="226"/>
      <c r="G3" s="226"/>
      <c r="H3" s="5"/>
      <c r="I3" s="5"/>
      <c r="J3" s="5"/>
      <c r="K3" s="5"/>
      <c r="L3" s="5"/>
    </row>
    <row r="4" spans="1:12" customFormat="1">
      <c r="A4" s="6" t="s">
        <v>7</v>
      </c>
      <c r="B4" s="227">
        <f>Fisa!B6</f>
        <v>0</v>
      </c>
      <c r="C4" s="227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W30" sqref="W30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33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NOT(ISNUMBER(FIND(" TM",A2)))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AND(
                        OR(
                            AND(D2=2800,E2=2070,OR(B2=38,B2=38.6)),
                            AND(D2=2800,E2=1220,B2=36),
                            AND(D2=3050,E2=1300,B2=38.6),
                            AND(D2=2800,E2=1300,B2=35),
                            AND(D2=2800,E2=1300,B2=38),
                            AND(RIGHT(A2,6)="MDF 3D",B2=36)
                        ),
                        NOT(ISNUMBER(FIND(" TM",A2)))
                    ),
                    "DB MDF",
                    IF(
                        AND(
                            D2=2800,
                            E2=2070,
                            OR(B2=36,B2=37.2,B2=32,B2=26,B2=28),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NOT(ISNUMBER(FIND(" TM",A3)))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AND(
                        OR(
                            AND(D3=2800,E3=2070,OR(B3=38,B3=38.6)),
                            AND(D3=2800,E3=1220,B3=36),
                            AND(D3=3050,E3=1300,B3=38.6),
                            AND(D3=2800,E3=1300,B3=35),
                            AND(D3=2800,E3=1300,B3=38),
                            AND(RIGHT(A3,6)="MDF 3D",B3=36)
                        ),
                        NOT(ISNUMBER(FIND(" TM",A3)))
                    ),
                    "DB MDF",
                    IF(
                        AND(
                            D3=2800,
                            E3=2070,
                            OR(B3=36,B3=37.2,B3=32,B3=26,B3=28),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2026-08-10T05:35:38Z</dcterms:modified>
</cp:coreProperties>
</file>