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065672EA-1C6E-4F2D-ADD4-40FE676DD28D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8" i="6" l="1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W3" i="9"/>
  <c r="Z3" i="9" s="1"/>
  <c r="W4" i="9"/>
  <c r="W5" i="9"/>
  <c r="W6" i="9"/>
  <c r="V6" i="9" s="1"/>
  <c r="W7" i="9"/>
  <c r="W8" i="9"/>
  <c r="V8" i="9" s="1"/>
  <c r="W9" i="9"/>
  <c r="V9" i="9" s="1"/>
  <c r="W10" i="9"/>
  <c r="Z10" i="9" s="1"/>
  <c r="W11" i="9"/>
  <c r="V11" i="9" s="1"/>
  <c r="W12" i="9"/>
  <c r="V12" i="9" s="1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V23" i="9" s="1"/>
  <c r="W24" i="9"/>
  <c r="V24" i="9" s="1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V2" i="9" s="1"/>
  <c r="V4" i="9"/>
  <c r="V5" i="9"/>
  <c r="V10" i="9"/>
  <c r="V15" i="9"/>
  <c r="V16" i="9"/>
  <c r="V17" i="9"/>
  <c r="V18" i="9"/>
  <c r="V19" i="9"/>
  <c r="V20" i="9"/>
  <c r="V21" i="9"/>
  <c r="V22" i="9"/>
  <c r="V27" i="9"/>
  <c r="V28" i="9"/>
  <c r="V29" i="9"/>
  <c r="V30" i="9"/>
  <c r="V31" i="9"/>
  <c r="V32" i="9"/>
  <c r="V33" i="9"/>
  <c r="V34" i="9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V7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4" i="9" l="1"/>
  <c r="Z12" i="9"/>
  <c r="V25" i="9"/>
  <c r="V13" i="9"/>
  <c r="V26" i="9"/>
  <c r="V14" i="9"/>
  <c r="Z23" i="9"/>
  <c r="Z11" i="9"/>
  <c r="Z2" i="9"/>
  <c r="V3" i="9"/>
  <c r="Z9" i="9"/>
  <c r="Z8" i="9"/>
  <c r="Z7" i="9"/>
  <c r="R45" i="6" a="1"/>
  <c r="R45" i="6" s="1"/>
  <c r="Z6" i="9"/>
  <c r="J45" i="6" a="1"/>
  <c r="J45" i="6" s="1"/>
  <c r="Z5" i="9"/>
  <c r="H45" i="6" a="1"/>
  <c r="H45" i="6" s="1"/>
  <c r="F45" i="6"/>
  <c r="N45" i="6" a="1"/>
  <c r="N45" i="6" s="1"/>
  <c r="P45" i="6" a="1"/>
  <c r="P45" i="6" s="1"/>
  <c r="L45" i="6" a="1"/>
  <c r="L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S42" i="6" l="1"/>
  <c r="F43" i="6"/>
  <c r="Y23" i="9"/>
  <c r="Y15" i="9"/>
  <c r="Y22" i="9"/>
  <c r="I20" i="19"/>
  <c r="I19" i="19"/>
  <c r="C41" i="6" s="1"/>
  <c r="Y16" i="9"/>
  <c r="Y17" i="9"/>
  <c r="Y21" i="9"/>
  <c r="I17" i="19"/>
  <c r="Y11" i="9"/>
  <c r="Y18" i="9"/>
  <c r="I15" i="19"/>
  <c r="C47" i="6" s="1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B12" i="6" a="1"/>
  <c r="B12" i="6" s="1"/>
  <c r="F26" i="6"/>
  <c r="D26" i="6" a="1"/>
  <c r="D26" i="6" s="1"/>
  <c r="C26" i="6" s="1"/>
  <c r="F19" i="6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F15" i="6"/>
  <c r="B16" i="6" a="1"/>
  <c r="B16" i="6" s="1"/>
  <c r="Q45" i="6"/>
  <c r="C42" i="6"/>
  <c r="B13" i="6" a="1"/>
  <c r="B13" i="6" s="1"/>
  <c r="I45" i="6"/>
  <c r="S45" i="6"/>
  <c r="O45" i="6"/>
  <c r="F38" i="6"/>
  <c r="C38" i="6"/>
  <c r="F32" i="6"/>
  <c r="C32" i="6"/>
  <c r="C34" i="6"/>
  <c r="F34" i="6"/>
  <c r="F37" i="6"/>
  <c r="C37" i="6"/>
  <c r="B30" i="6" a="1"/>
  <c r="B30" i="6" s="1"/>
  <c r="C46" i="6" s="1"/>
  <c r="M45" i="6"/>
  <c r="K45" i="6"/>
  <c r="G45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/>
  <c r="L20" i="6"/>
  <c r="L19" i="6"/>
  <c r="F13" i="6"/>
  <c r="D13" i="6" a="1"/>
  <c r="D13" i="6" s="1"/>
  <c r="C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C12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<sst xmlns="http://schemas.openxmlformats.org/spreadsheetml/2006/main" count="205" uniqueCount="118">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</sst>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44" xfId="0" applyFont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topLeftCell="A17" zoomScaleNormal="100" workbookViewId="0">
      <selection activeCell="B50" sqref="B50:S57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10" t="s">
        <v>37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2"/>
      <c r="M1" s="38" t="s">
        <v>71</v>
      </c>
      <c r="N1" s="39" t="s">
        <v>65</v>
      </c>
      <c r="O1" s="199" t="s">
        <v>70</v>
      </c>
      <c r="P1" s="200"/>
      <c r="Q1" s="200"/>
      <c r="R1" s="200"/>
      <c r="S1" s="20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02"/>
      <c r="P2" s="203"/>
      <c r="Q2" s="203"/>
      <c r="R2" s="203"/>
      <c r="S2" s="204"/>
    </row>
    <row r="3" spans="1:19">
      <c r="A3" s="20" t="s">
        <v>50</v>
      </c>
      <c r="B3" s="220"/>
      <c r="C3" s="221"/>
      <c r="D3" s="222"/>
      <c r="H3" s="20" t="s">
        <v>60</v>
      </c>
      <c r="I3" s="224"/>
      <c r="J3" s="225"/>
      <c r="K3" s="226"/>
      <c r="M3" s="27">
        <v>2</v>
      </c>
      <c r="N3" s="76"/>
      <c r="O3" s="213"/>
      <c r="P3" s="195"/>
      <c r="Q3" s="195"/>
      <c r="R3" s="195"/>
      <c r="S3" s="196"/>
    </row>
    <row r="4" spans="1:19">
      <c r="A4" s="21" t="s">
        <v>48</v>
      </c>
      <c r="B4" s="256"/>
      <c r="C4" s="257"/>
      <c r="D4" s="258"/>
      <c r="H4" s="21" t="s">
        <v>61</v>
      </c>
      <c r="I4" s="259"/>
      <c r="J4" s="260"/>
      <c r="K4" s="261"/>
      <c r="M4" s="27">
        <v>3</v>
      </c>
      <c r="N4" s="76"/>
      <c r="O4" s="213"/>
      <c r="P4" s="195"/>
      <c r="Q4" s="195"/>
      <c r="R4" s="195"/>
      <c r="S4" s="196"/>
    </row>
    <row r="5" spans="1:19">
      <c r="A5" s="21" t="s">
        <v>49</v>
      </c>
      <c r="B5" s="183"/>
      <c r="C5" s="184"/>
      <c r="D5" s="185"/>
      <c r="H5" s="21" t="s">
        <v>62</v>
      </c>
      <c r="I5" s="194"/>
      <c r="J5" s="195"/>
      <c r="K5" s="196"/>
      <c r="M5" s="27">
        <v>4</v>
      </c>
      <c r="N5" s="76"/>
      <c r="O5" s="213"/>
      <c r="P5" s="195"/>
      <c r="Q5" s="195"/>
      <c r="R5" s="195"/>
      <c r="S5" s="196"/>
    </row>
    <row r="6" spans="1:19" ht="15.75" thickBot="1">
      <c r="A6" s="22" t="s">
        <v>7</v>
      </c>
      <c r="B6" s="188"/>
      <c r="C6" s="189"/>
      <c r="D6" s="190"/>
      <c r="H6" s="22" t="s">
        <v>63</v>
      </c>
      <c r="I6" s="191"/>
      <c r="J6" s="192"/>
      <c r="K6" s="193"/>
      <c r="M6" s="28">
        <v>5</v>
      </c>
      <c r="N6" s="77"/>
      <c r="O6" s="205"/>
      <c r="P6" s="192"/>
      <c r="Q6" s="192"/>
      <c r="R6" s="192"/>
      <c r="S6" s="193"/>
    </row>
    <row r="7" spans="1:19" s="51" customFormat="1" ht="2.1" hidden="1" customHeight="1" thickBot="1"/>
    <row r="8" spans="1:19" ht="15.75" customHeight="1" thickBot="1">
      <c r="A8" s="228" t="s">
        <v>1</v>
      </c>
      <c r="B8" s="229"/>
      <c r="C8" s="229"/>
      <c r="D8" s="230"/>
      <c r="F8" s="197" t="s">
        <v>74</v>
      </c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206"/>
    </row>
    <row r="9" spans="1:19" ht="15.75" thickBot="1">
      <c r="A9" s="231"/>
      <c r="B9" s="232"/>
      <c r="C9" s="232"/>
      <c r="D9" s="233"/>
      <c r="F9" s="252" t="s">
        <v>28</v>
      </c>
      <c r="G9" s="253"/>
      <c r="H9" s="186" t="s">
        <v>29</v>
      </c>
      <c r="I9" s="187"/>
      <c r="J9" s="250" t="s">
        <v>16</v>
      </c>
      <c r="K9" s="251"/>
      <c r="L9" s="181" t="s">
        <v>19</v>
      </c>
      <c r="M9" s="182"/>
      <c r="N9" s="218" t="s">
        <v>82</v>
      </c>
      <c r="O9" s="219"/>
      <c r="P9" s="245" t="s">
        <v>69</v>
      </c>
      <c r="Q9" s="246"/>
      <c r="R9" s="218" t="s">
        <v>18</v>
      </c>
      <c r="S9" s="219"/>
    </row>
    <row r="10" spans="1:19" ht="15.75" thickBot="1">
      <c r="A10" s="21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15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15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15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15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15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15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15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15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15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15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15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16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14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15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15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15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17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47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48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49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47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48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49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14" t="s">
        <v>51</v>
      </c>
      <c r="B40" s="32" t="s">
        <v>68</v>
      </c>
      <c r="C40" s="32" t="s">
        <v>72</v>
      </c>
      <c r="D40" s="18" t="s">
        <v>52</v>
      </c>
      <c r="F40" s="207" t="s">
        <v>73</v>
      </c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9"/>
    </row>
    <row r="41" spans="1:19" ht="15.75" thickBot="1">
      <c r="A41" s="215"/>
      <c r="B41" s="35" t="s">
        <v>83</v>
      </c>
      <c r="C41" s="29">
        <f>SUMIF(Taiere!I2:I99, "PAL", Taiere!C2:C99)+SUMIF(Taiere!I2:I99, "DB 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15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75">
        <f>IF(COUNTIF(Deco!AA2:AA34,"Vezi EK")&gt;0,0,1)</f>
        <v>1</v>
      </c>
    </row>
    <row r="43" spans="1:19" ht="15.75" thickBot="1">
      <c r="A43" s="215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197" t="str">
        <f>IF(COUNTIF(Deco!AA2:AA34,"Vezi EK")&gt;0,"Atentie! Verifica EK dublaje","Nr. Piese Dublaje")</f>
        <v>Nr. Piese Dublaje</v>
      </c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76"/>
    </row>
    <row r="44" spans="1:19">
      <c r="A44" s="215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15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IFERROR(IF(R45&lt;&gt;"",INDEX(Deco!$V$2:$V$100,MATCH(R45,Deco!$Z$2:$Z$100,0)),""),"")</f>
        <v/>
      </c>
    </row>
    <row r="46" spans="1:19" ht="15.75" thickBot="1">
      <c r="A46" s="21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15"/>
      <c r="B47" s="33" t="s">
        <v>86</v>
      </c>
      <c r="C47" s="30">
        <f>SUMIF(Taiere!I2:I99, "MDF", Taiere!C2:C99)+SUMIF(Taiere!I2:I99, "DB MDF", Taiere!C2:C99)</f>
        <v>0</v>
      </c>
      <c r="D47" s="74" t="s">
        <v>54</v>
      </c>
      <c r="F47" s="175" t="s">
        <v>34</v>
      </c>
      <c r="G47" s="254" t="str">
        <f>IF(I6="PLAN M",SUM(C11:C28), "N/A")</f>
        <v>N/A</v>
      </c>
      <c r="J47" s="175" t="s">
        <v>88</v>
      </c>
      <c r="K47" s="243">
        <v>1</v>
      </c>
      <c r="N47" s="175" t="s">
        <v>110</v>
      </c>
      <c r="O47" s="177"/>
      <c r="P47" s="178"/>
      <c r="R47" s="175" t="s">
        <v>116</v>
      </c>
      <c r="S47" s="175"/>
    </row>
    <row r="48" spans="1:19" ht="15.75" thickBot="1">
      <c r="A48" s="217"/>
      <c r="B48" s="36" t="s">
        <v>87</v>
      </c>
      <c r="C48" s="31">
        <f>ROUND(SUM(F45:S45),0)*2</f>
        <v>0</v>
      </c>
      <c r="D48" s="72" t="s">
        <v>55</v>
      </c>
      <c r="F48" s="223"/>
      <c r="G48" s="255"/>
      <c r="J48" s="223"/>
      <c r="K48" s="244"/>
      <c r="N48" s="176"/>
      <c r="O48" s="179"/>
      <c r="P48" s="180"/>
      <c r="R48" s="176"/>
      <c r="S48" s="223"/>
    </row>
    <row r="49" spans="1:19" ht="2.1" hidden="1" customHeight="1">
      <c r="A49" s="40"/>
      <c r="B49" s="41"/>
      <c r="C49" s="1"/>
      <c r="D49" s="2"/>
    </row>
    <row r="50" spans="1:19">
      <c r="A50" s="227" t="s">
        <v>66</v>
      </c>
      <c r="B50" s="234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6"/>
    </row>
    <row r="51" spans="1:19">
      <c r="A51" s="215"/>
      <c r="B51" s="237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9"/>
    </row>
    <row r="52" spans="1:19">
      <c r="A52" s="215"/>
      <c r="B52" s="237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9"/>
    </row>
    <row r="53" spans="1:19">
      <c r="A53" s="215"/>
      <c r="B53" s="237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9"/>
    </row>
    <row r="54" spans="1:19">
      <c r="A54" s="215"/>
      <c r="B54" s="237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9"/>
    </row>
    <row r="55" spans="1:19">
      <c r="A55" s="215"/>
      <c r="B55" s="237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9"/>
    </row>
    <row r="56" spans="1:19">
      <c r="A56" s="215"/>
      <c r="B56" s="237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9"/>
    </row>
    <row r="57" spans="1:19" ht="15.75" thickBot="1">
      <c r="A57" s="217"/>
      <c r="B57" s="240"/>
      <c r="C57" s="241"/>
      <c r="D57" s="241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2"/>
    </row>
  </sheetData>
  <mergeCells count="42"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B1" zoomScaleNormal="100" workbookViewId="0">
      <selection activeCell="Y31" sqref="Y31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MDF"),Q2/13.5,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MDF"),Q3/13.5,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2026-06-30T11:18:58Z</dcterms:modified>
</cp:coreProperties>
</file>