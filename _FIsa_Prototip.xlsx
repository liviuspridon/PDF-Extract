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A4D14CE0-D54A-4C88-93C8-B1EFDC145833}" xr6:coauthVersionLast="47" xr6:coauthVersionMax="47" xr10:uidLastSave="{00000000-0000-0000-0000-000000000000}"/>
  <bookViews>
    <workbookView xWindow="-120" yWindow="-120" windowWidth="29040" windowHeight="15720" firstSheet="1" activeTab="3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" i="9" l="1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B12" i="6" l="1" a="1"/>
  <c r="B12" i="6" s="1"/>
  <c r="B11" i="6"/>
  <c r="F23" i="6"/>
  <c r="Z16" i="9"/>
  <c r="Z17" i="9"/>
  <c r="Z18" i="9"/>
  <c r="Z19" i="9"/>
  <c r="Z27" i="9"/>
  <c r="Z28" i="9"/>
  <c r="Z29" i="9"/>
  <c r="Z30" i="9"/>
  <c r="Z31" i="9"/>
  <c r="V34" i="9"/>
  <c r="AA34" i="9" s="1"/>
  <c r="V33" i="9"/>
  <c r="AA33" i="9" s="1"/>
  <c r="V32" i="9"/>
  <c r="AA32" i="9" s="1"/>
  <c r="V31" i="9"/>
  <c r="AA31" i="9" s="1"/>
  <c r="V30" i="9"/>
  <c r="AA30" i="9" s="1"/>
  <c r="V29" i="9"/>
  <c r="AA29" i="9" s="1"/>
  <c r="V28" i="9"/>
  <c r="AA28" i="9" s="1"/>
  <c r="V27" i="9"/>
  <c r="AA27" i="9" s="1"/>
  <c r="V26" i="9"/>
  <c r="AA26" i="9" s="1"/>
  <c r="V25" i="9"/>
  <c r="AA25" i="9" s="1"/>
  <c r="V24" i="9"/>
  <c r="AA24" i="9" s="1"/>
  <c r="V23" i="9"/>
  <c r="AA23" i="9" s="1"/>
  <c r="V22" i="9"/>
  <c r="AA22" i="9" s="1"/>
  <c r="V21" i="9"/>
  <c r="AA21" i="9" s="1"/>
  <c r="V20" i="9"/>
  <c r="AA20" i="9" s="1"/>
  <c r="V19" i="9"/>
  <c r="AA19" i="9" s="1"/>
  <c r="V18" i="9"/>
  <c r="AA18" i="9" s="1"/>
  <c r="V17" i="9"/>
  <c r="AA17" i="9" s="1"/>
  <c r="V16" i="9"/>
  <c r="AA16" i="9" s="1"/>
  <c r="V15" i="9"/>
  <c r="AA15" i="9" s="1"/>
  <c r="V14" i="9"/>
  <c r="AA14" i="9" s="1"/>
  <c r="V13" i="9"/>
  <c r="AA13" i="9" s="1"/>
  <c r="V12" i="9"/>
  <c r="AA12" i="9" s="1"/>
  <c r="V11" i="9"/>
  <c r="AA11" i="9" s="1"/>
  <c r="V10" i="9"/>
  <c r="AA10" i="9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V3" i="9"/>
  <c r="V4" i="9"/>
  <c r="V5" i="9"/>
  <c r="V7" i="9"/>
  <c r="AA7" i="9" s="1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V8" i="9" l="1"/>
  <c r="AA8" i="9" s="1"/>
  <c r="V9" i="9"/>
  <c r="AA9" i="9" s="1"/>
  <c r="Z6" i="9"/>
  <c r="V2" i="9"/>
  <c r="AA2" i="9" s="1"/>
  <c r="V6" i="9"/>
  <c r="AA6" i="9" s="1"/>
  <c r="Z11" i="9"/>
  <c r="Z8" i="9"/>
  <c r="AA4" i="9"/>
  <c r="AA3" i="9"/>
  <c r="Z4" i="9"/>
  <c r="AA5" i="9"/>
  <c r="Z5" i="9"/>
  <c r="Z2" i="9"/>
  <c r="Z15" i="9"/>
  <c r="Z12" i="9"/>
  <c r="Z34" i="9"/>
  <c r="Z22" i="9"/>
  <c r="Z33" i="9"/>
  <c r="Z21" i="9"/>
  <c r="Z32" i="9"/>
  <c r="Z20" i="9"/>
  <c r="Z26" i="9"/>
  <c r="Z25" i="9"/>
  <c r="Z13" i="9"/>
  <c r="Z24" i="9"/>
  <c r="Z14" i="9"/>
  <c r="Z23" i="9"/>
  <c r="I26" i="19"/>
  <c r="I25" i="19"/>
  <c r="Z9" i="9"/>
  <c r="Z7" i="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Z3" i="9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Z10" i="9"/>
  <c r="S42" i="6" l="1"/>
  <c r="F43" i="6"/>
  <c r="Y23" i="9"/>
  <c r="Y15" i="9"/>
  <c r="Y22" i="9"/>
  <c r="I20" i="19"/>
  <c r="I19" i="19"/>
  <c r="Y16" i="9"/>
  <c r="Y17" i="9"/>
  <c r="Y21" i="9"/>
  <c r="I17" i="19"/>
  <c r="C41" i="6" s="1"/>
  <c r="Y11" i="9"/>
  <c r="Y18" i="9"/>
  <c r="I15" i="19"/>
  <c r="Y13" i="9"/>
  <c r="Y12" i="9"/>
  <c r="Y14" i="9"/>
  <c r="Y6" i="9"/>
  <c r="Y5" i="9"/>
  <c r="I23" i="6"/>
  <c r="Y4" i="9"/>
  <c r="Y7" i="9"/>
  <c r="B14" i="6" s="1" a="1"/>
  <c r="B14" i="6" s="1"/>
  <c r="D14" i="6" s="1" a="1"/>
  <c r="D14" i="6" s="1"/>
  <c r="Y8" i="9"/>
  <c r="B15" i="6" s="1" a="1"/>
  <c r="B15" i="6" s="1"/>
  <c r="D15" i="6" s="1" a="1"/>
  <c r="D15" i="6" s="1"/>
  <c r="Y9" i="9"/>
  <c r="B24" i="6" s="1"/>
  <c r="Y10" i="9"/>
  <c r="B32" i="6" s="1" a="1"/>
  <c r="B32" i="6" s="1"/>
  <c r="Y3" i="9"/>
  <c r="Y2" i="9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B22" i="6" a="1"/>
  <c r="B22" i="6" s="1"/>
  <c r="B27" i="6" a="1"/>
  <c r="B27" i="6" s="1"/>
  <c r="B38" i="6" a="1"/>
  <c r="B38" i="6" s="1"/>
  <c r="F26" i="6" l="1"/>
  <c r="D26" i="6" a="1"/>
  <c r="D26" i="6" s="1"/>
  <c r="C26" i="6" s="1"/>
  <c r="F19" i="6"/>
  <c r="D19" i="6" a="1"/>
  <c r="D19" i="6" s="1"/>
  <c r="C19" i="6" s="1"/>
  <c r="F18" i="6"/>
  <c r="D18" i="6" a="1"/>
  <c r="D18" i="6" s="1"/>
  <c r="C18" i="6" s="1"/>
  <c r="F21" i="6"/>
  <c r="D21" i="6" a="1"/>
  <c r="D21" i="6" s="1"/>
  <c r="C21" i="6" s="1"/>
  <c r="F28" i="6"/>
  <c r="D28" i="6" a="1"/>
  <c r="D28" i="6" s="1"/>
  <c r="C28" i="6" s="1"/>
  <c r="F24" i="6"/>
  <c r="D24" i="6" a="1"/>
  <c r="D24" i="6" s="1"/>
  <c r="C24" i="6" s="1"/>
  <c r="F17" i="6"/>
  <c r="D17" i="6" a="1"/>
  <c r="D17" i="6" s="1"/>
  <c r="C17" i="6" s="1"/>
  <c r="F20" i="6"/>
  <c r="D20" i="6" a="1"/>
  <c r="D20" i="6" s="1"/>
  <c r="C20" i="6" s="1"/>
  <c r="F27" i="6"/>
  <c r="D27" i="6" a="1"/>
  <c r="D27" i="6" s="1"/>
  <c r="C27" i="6" s="1"/>
  <c r="F22" i="6"/>
  <c r="D22" i="6" a="1"/>
  <c r="D22" i="6" s="1"/>
  <c r="C22" i="6" s="1"/>
  <c r="B25" i="6"/>
  <c r="B36" i="6" a="1"/>
  <c r="B36" i="6" s="1"/>
  <c r="F36" i="6" s="1"/>
  <c r="D11" i="6" a="1"/>
  <c r="D11" i="6" s="1"/>
  <c r="C11" i="6" s="1"/>
  <c r="B33" i="6" a="1"/>
  <c r="B33" i="6" s="1"/>
  <c r="C33" i="6" s="1"/>
  <c r="C47" i="6"/>
  <c r="F15" i="6"/>
  <c r="B16" i="6" a="1"/>
  <c r="B16" i="6" s="1"/>
  <c r="P45" i="6" a="1"/>
  <c r="P45" i="6" s="1"/>
  <c r="Q45" i="6" s="1"/>
  <c r="C42" i="6"/>
  <c r="B13" i="6" a="1"/>
  <c r="B13" i="6" s="1"/>
  <c r="F14" i="6"/>
  <c r="H45" i="6" a="1"/>
  <c r="H45" i="6" s="1"/>
  <c r="I45" i="6" s="1"/>
  <c r="R45" i="6" a="1"/>
  <c r="R45" i="6" s="1"/>
  <c r="S45" i="6" s="1"/>
  <c r="N45" i="6" a="1"/>
  <c r="N45" i="6" s="1"/>
  <c r="O45" i="6" s="1"/>
  <c r="F38" i="6"/>
  <c r="C38" i="6"/>
  <c r="F32" i="6"/>
  <c r="C32" i="6"/>
  <c r="C34" i="6"/>
  <c r="F34" i="6"/>
  <c r="F37" i="6"/>
  <c r="C37" i="6"/>
  <c r="B30" i="6" a="1"/>
  <c r="B30" i="6" s="1"/>
  <c r="C46" i="6" s="1"/>
  <c r="L45" i="6" a="1"/>
  <c r="L45" i="6" s="1"/>
  <c r="M45" i="6" s="1"/>
  <c r="J45" i="6" a="1"/>
  <c r="J45" i="6" s="1"/>
  <c r="K45" i="6" s="1"/>
  <c r="F45" i="6" a="1"/>
  <c r="F45" i="6" s="1"/>
  <c r="G45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L20" i="6" l="1"/>
  <c r="L19" i="6"/>
  <c r="F13" i="6"/>
  <c r="D13" i="6" a="1"/>
  <c r="D13" i="6" s="1"/>
  <c r="C13" i="6" s="1"/>
  <c r="F25" i="6"/>
  <c r="D25" i="6" a="1"/>
  <c r="D25" i="6" s="1"/>
  <c r="C25" i="6" s="1"/>
  <c r="F16" i="6"/>
  <c r="D16" i="6" a="1"/>
  <c r="D16" i="6" s="1"/>
  <c r="C16" i="6" s="1"/>
  <c r="F12" i="6"/>
  <c r="D12" i="6" a="1"/>
  <c r="D12" i="6" s="1"/>
  <c r="F11" i="6"/>
  <c r="C36" i="6"/>
  <c r="C45" i="6" s="1"/>
  <c r="C44" i="6"/>
  <c r="F33" i="6"/>
  <c r="C43" i="6"/>
  <c r="C15" i="6"/>
  <c r="C14" i="6"/>
  <c r="C48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S23" i="6" l="1"/>
  <c r="G28" i="6"/>
  <c r="G47" i="6"/>
  <c r="C12" i="6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M21" i="6" s="1"/>
  <c r="J21" i="6"/>
  <c r="K21" i="6" s="1"/>
  <c r="R21" i="6"/>
  <c r="S21" i="6" s="1"/>
  <c r="H21" i="6"/>
  <c r="I21" i="6" s="1"/>
  <c r="P21" i="6"/>
  <c r="Q21" i="6" s="1"/>
  <c r="N21" i="6"/>
  <c r="O21" i="6" s="1"/>
  <c r="J20" i="6"/>
  <c r="K20" i="6" s="1"/>
  <c r="P20" i="6"/>
  <c r="Q20" i="6" s="1"/>
  <c r="H20" i="6"/>
  <c r="I20" i="6" s="1"/>
  <c r="N20" i="6"/>
  <c r="O20" i="6" s="1"/>
  <c r="D88" i="7"/>
  <c r="R20" i="6"/>
  <c r="S20" i="6" s="1"/>
  <c r="P19" i="6"/>
  <c r="Q19" i="6" s="1"/>
  <c r="J19" i="6"/>
  <c r="K19" i="6" s="1"/>
  <c r="D81" i="7"/>
  <c r="N19" i="6"/>
  <c r="O19" i="6" s="1"/>
  <c r="H19" i="6"/>
  <c r="I19" i="6" s="1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I18" i="6" s="1"/>
  <c r="L18" i="6"/>
  <c r="M18" i="6" s="1"/>
  <c r="D74" i="7"/>
  <c r="P17" i="6"/>
  <c r="Q17" i="6" s="1"/>
  <c r="L17" i="6"/>
  <c r="M17" i="6" s="1"/>
  <c r="H17" i="6"/>
  <c r="I17" i="6" s="1"/>
  <c r="N17" i="6"/>
  <c r="O17" i="6" s="1"/>
  <c r="J17" i="6"/>
  <c r="K17" i="6" s="1"/>
  <c r="D67" i="7"/>
  <c r="R17" i="6"/>
  <c r="S17" i="6" s="1"/>
  <c r="H16" i="6"/>
  <c r="I16" i="6" s="1"/>
  <c r="N16" i="6"/>
  <c r="O16" i="6" s="1"/>
  <c r="P16" i="6"/>
  <c r="Q16" i="6" s="1"/>
  <c r="D60" i="7"/>
  <c r="J16" i="6"/>
  <c r="K16" i="6" s="1"/>
  <c r="L16" i="6"/>
  <c r="M16" i="6" s="1"/>
  <c r="R16" i="6"/>
  <c r="S16" i="6" s="1"/>
  <c r="D53" i="7"/>
  <c r="L15" i="6"/>
  <c r="M15" i="6" s="1"/>
  <c r="N15" i="6"/>
  <c r="O15" i="6" s="1"/>
  <c r="H15" i="6"/>
  <c r="I15" i="6" s="1"/>
  <c r="R15" i="6"/>
  <c r="S15" i="6" s="1"/>
  <c r="P15" i="6"/>
  <c r="Q15" i="6" s="1"/>
  <c r="J15" i="6"/>
  <c r="K15" i="6" s="1"/>
  <c r="P14" i="6"/>
  <c r="Q14" i="6" s="1"/>
  <c r="D46" i="7"/>
  <c r="N14" i="6"/>
  <c r="O14" i="6" s="1"/>
  <c r="H14" i="6"/>
  <c r="I14" i="6" s="1"/>
  <c r="R14" i="6"/>
  <c r="S14" i="6" s="1"/>
  <c r="J14" i="6"/>
  <c r="K14" i="6" s="1"/>
  <c r="L14" i="6"/>
  <c r="M14" i="6" s="1"/>
  <c r="P13" i="6"/>
  <c r="Q13" i="6" s="1"/>
  <c r="J13" i="6"/>
  <c r="K13" i="6" s="1"/>
  <c r="D39" i="7"/>
  <c r="R13" i="6"/>
  <c r="S13" i="6" s="1"/>
  <c r="H13" i="6"/>
  <c r="I13" i="6" s="1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D32" i="7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I22" i="6" s="1"/>
  <c r="B82" i="7"/>
  <c r="N22" i="6"/>
  <c r="P22" i="6"/>
  <c r="Q22" i="6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S37" i="6" s="1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<sst xmlns="http://schemas.openxmlformats.org/spreadsheetml/2006/main" count="205" uniqueCount="118">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</sst>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6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7" xfId="0" applyBorder="1"/>
    <xf numFmtId="0" fontId="0" fillId="0" borderId="3" xfId="0" applyBorder="1"/>
    <xf numFmtId="0" fontId="2" fillId="0" borderId="48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7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0" fillId="0" borderId="51" xfId="0" applyBorder="1"/>
    <xf numFmtId="0" fontId="0" fillId="0" borderId="50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2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8" borderId="6" xfId="0" applyFont="1" applyFill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4" borderId="54" xfId="0" applyFont="1" applyFill="1" applyBorder="1" applyAlignment="1">
      <alignment horizontal="center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3" fillId="0" borderId="44" xfId="0" applyFont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4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2" fillId="0" borderId="18" xfId="0" applyFont="1" applyBorder="1" applyAlignment="1">
      <alignment horizontal="left" vertical="top"/>
    </xf>
    <xf numFmtId="0" fontId="2" fillId="0" borderId="19" xfId="0" applyFont="1" applyBorder="1" applyAlignment="1">
      <alignment horizontal="left" vertical="top"/>
    </xf>
    <xf numFmtId="0" fontId="2" fillId="0" borderId="20" xfId="0" applyFont="1" applyBorder="1" applyAlignment="1">
      <alignment horizontal="left" vertical="top"/>
    </xf>
    <xf numFmtId="0" fontId="2" fillId="0" borderId="17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22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4" xfId="0" applyFont="1" applyBorder="1" applyAlignment="1" applyProtection="1">
      <alignment horizontal="center" vertical="center"/>
      <protection locked="0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57"/>
  <sheetViews>
    <sheetView topLeftCell="A17" zoomScaleNormal="100" workbookViewId="0">
      <selection activeCell="C42" sqref="C42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10" t="s">
        <v>37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2"/>
      <c r="M1" s="38" t="s">
        <v>71</v>
      </c>
      <c r="N1" s="39" t="s">
        <v>65</v>
      </c>
      <c r="O1" s="199" t="s">
        <v>70</v>
      </c>
      <c r="P1" s="200"/>
      <c r="Q1" s="200"/>
      <c r="R1" s="200"/>
      <c r="S1" s="201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02"/>
      <c r="P2" s="203"/>
      <c r="Q2" s="203"/>
      <c r="R2" s="203"/>
      <c r="S2" s="204"/>
    </row>
    <row r="3" spans="1:19">
      <c r="A3" s="20" t="s">
        <v>50</v>
      </c>
      <c r="B3" s="220"/>
      <c r="C3" s="221"/>
      <c r="D3" s="222"/>
      <c r="H3" s="20" t="s">
        <v>60</v>
      </c>
      <c r="I3" s="224"/>
      <c r="J3" s="225"/>
      <c r="K3" s="226"/>
      <c r="M3" s="27">
        <v>2</v>
      </c>
      <c r="N3" s="76"/>
      <c r="O3" s="213"/>
      <c r="P3" s="195"/>
      <c r="Q3" s="195"/>
      <c r="R3" s="195"/>
      <c r="S3" s="196"/>
    </row>
    <row r="4" spans="1:19">
      <c r="A4" s="21" t="s">
        <v>48</v>
      </c>
      <c r="B4" s="256"/>
      <c r="C4" s="257"/>
      <c r="D4" s="258"/>
      <c r="H4" s="21" t="s">
        <v>61</v>
      </c>
      <c r="I4" s="259"/>
      <c r="J4" s="260"/>
      <c r="K4" s="261"/>
      <c r="M4" s="27">
        <v>3</v>
      </c>
      <c r="N4" s="76"/>
      <c r="O4" s="213"/>
      <c r="P4" s="195"/>
      <c r="Q4" s="195"/>
      <c r="R4" s="195"/>
      <c r="S4" s="196"/>
    </row>
    <row r="5" spans="1:19">
      <c r="A5" s="21" t="s">
        <v>49</v>
      </c>
      <c r="B5" s="183"/>
      <c r="C5" s="184"/>
      <c r="D5" s="185"/>
      <c r="H5" s="21" t="s">
        <v>62</v>
      </c>
      <c r="I5" s="194"/>
      <c r="J5" s="195"/>
      <c r="K5" s="196"/>
      <c r="M5" s="27">
        <v>4</v>
      </c>
      <c r="N5" s="76"/>
      <c r="O5" s="213"/>
      <c r="P5" s="195"/>
      <c r="Q5" s="195"/>
      <c r="R5" s="195"/>
      <c r="S5" s="196"/>
    </row>
    <row r="6" spans="1:19" ht="15.75" thickBot="1">
      <c r="A6" s="22" t="s">
        <v>7</v>
      </c>
      <c r="B6" s="188"/>
      <c r="C6" s="189"/>
      <c r="D6" s="190"/>
      <c r="H6" s="22" t="s">
        <v>63</v>
      </c>
      <c r="I6" s="191"/>
      <c r="J6" s="192"/>
      <c r="K6" s="193"/>
      <c r="M6" s="28">
        <v>5</v>
      </c>
      <c r="N6" s="77"/>
      <c r="O6" s="205"/>
      <c r="P6" s="192"/>
      <c r="Q6" s="192"/>
      <c r="R6" s="192"/>
      <c r="S6" s="193"/>
    </row>
    <row r="7" spans="1:19" s="51" customFormat="1" ht="2.1" hidden="1" customHeight="1" thickBot="1"/>
    <row r="8" spans="1:19" ht="15.75" customHeight="1" thickBot="1">
      <c r="A8" s="228" t="s">
        <v>1</v>
      </c>
      <c r="B8" s="229"/>
      <c r="C8" s="229"/>
      <c r="D8" s="230"/>
      <c r="F8" s="197" t="s">
        <v>74</v>
      </c>
      <c r="G8" s="198"/>
      <c r="H8" s="198"/>
      <c r="I8" s="198"/>
      <c r="J8" s="198"/>
      <c r="K8" s="198"/>
      <c r="L8" s="198"/>
      <c r="M8" s="198"/>
      <c r="N8" s="198"/>
      <c r="O8" s="198"/>
      <c r="P8" s="198"/>
      <c r="Q8" s="198"/>
      <c r="R8" s="198"/>
      <c r="S8" s="206"/>
    </row>
    <row r="9" spans="1:19" ht="15.75" thickBot="1">
      <c r="A9" s="231"/>
      <c r="B9" s="232"/>
      <c r="C9" s="232"/>
      <c r="D9" s="233"/>
      <c r="F9" s="252" t="s">
        <v>28</v>
      </c>
      <c r="G9" s="253"/>
      <c r="H9" s="186" t="s">
        <v>29</v>
      </c>
      <c r="I9" s="187"/>
      <c r="J9" s="250" t="s">
        <v>16</v>
      </c>
      <c r="K9" s="251"/>
      <c r="L9" s="181" t="s">
        <v>19</v>
      </c>
      <c r="M9" s="182"/>
      <c r="N9" s="218" t="s">
        <v>82</v>
      </c>
      <c r="O9" s="219"/>
      <c r="P9" s="245" t="s">
        <v>69</v>
      </c>
      <c r="Q9" s="246"/>
      <c r="R9" s="218" t="s">
        <v>18</v>
      </c>
      <c r="S9" s="219"/>
    </row>
    <row r="10" spans="1:19" ht="15.75" thickBot="1">
      <c r="A10" s="214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215"/>
      <c r="B11" s="57" t="str">
        <f>IFERROR(INDEX(Deco!$Y$2:$Y$99,_xlfn.AGGREGATE(15,6,ROW(Deco!$Y$2:$Y$99)-ROW(Deco!$Y$2)+1/(Deco!$W$2:$W$99="PAL"),1)),"")</f>
        <v/>
      </c>
      <c r="C11" s="61" t="str">
        <f>IF(D11="buc",IF(B11&lt;&gt;"",INDEX(Deco!$C$2:$C$99,MATCH(B11,Deco!$Y$2:$Y$99,0)),""),IF(B11&lt;&gt;"",INDEX(Deco!$V$2:$V$99,MATCH(B11,Deco!$Y$2:$Y$99,0)),""))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IFERROR(IF(AND(F11&lt;&gt;"",SUMIFS(Cant!$I$2:$I$99,Cant!$M$2:$M$99,F11,Cant!$J$2:$J$99,"22/0.4")&gt;0),SUMIFS(Cant!$I$2:$I$99,Cant!$M$2:$M$99,F11,Cant!$J$2:$J$99,"22/0.4"),""),"")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15"/>
      <c r="B12" s="133" t="str" cm="1">
        <f t="array" ref="B12">IFERROR(_xlfn.SINGLE(INDEX(Deco!$Y$2:$Y$99,_xlfn.AGGREGATE(15,6,ROW(Deco!$Y$2:$Y$99)-ROW(Deco!$Y$2)+1/(Deco!$W$2:$W$99="PAL"),2))),"")</f>
        <v/>
      </c>
      <c r="C12" s="134" t="str">
        <f>IF(D12="buc",IF(B12&lt;&gt;"",INDEX(Deco!$C$2:$C$99,MATCH(B12,Deco!$Y$2:$Y$99,0)),""),IF(B12&lt;&gt;"",INDEX(Deco!$V$2:$V$99,MATCH(B12,Deco!$Y$2:$Y$99,0)),""))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215"/>
      <c r="B13" s="133" t="str" cm="1">
        <f t="array" ref="B13">IFERROR(_xlfn.SINGLE(INDEX(Deco!$Y$2:$Y$99,_xlfn.AGGREGATE(15,6,ROW(Deco!$Y$2:$Y$99)-ROW(Deco!$Y$2)+1/(Deco!$W$2:$W$99="PAL"),3))),"")</f>
        <v/>
      </c>
      <c r="C13" s="134" t="str">
        <f>IF(D13="buc",IF(B13&lt;&gt;"",INDEX(Deco!$C$2:$C$99,MATCH(B13,Deco!$Y$2:$Y$99,0)),""),IF(B13&lt;&gt;"",INDEX(Deco!$V$2:$V$99,MATCH(B13,Deco!$Y$2:$Y$99,0)),""))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15"/>
      <c r="B14" s="133" t="str" cm="1">
        <f t="array" ref="B14">IFERROR(_xlfn.SINGLE(INDEX(Deco!$Y$2:$Y$99,_xlfn.AGGREGATE(15,6,ROW(Deco!$Y$2:$Y$99)-ROW(Deco!$Y$2)+1/(Deco!$W$2:$W$99="PAL"),4))),"")</f>
        <v/>
      </c>
      <c r="C14" s="134" t="str">
        <f>IF(D14="buc",IF(B14&lt;&gt;"",INDEX(Deco!$C$2:$C$99,MATCH(B14,Deco!$Y$2:$Y$99,0)),""),IF(B14&lt;&gt;"",INDEX(Deco!$V$2:$V$99,MATCH(B14,Deco!$Y$2:$Y$99,0)),""))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15"/>
      <c r="B15" s="133" t="str" cm="1">
        <f t="array" ref="B15">IFERROR(_xlfn.SINGLE(INDEX(Deco!$Y$2:$Y$99,_xlfn.AGGREGATE(15,6,ROW(Deco!$Y$2:$Y$99)-ROW(Deco!$Y$2)+1/(Deco!$W$2:$W$99="PAL"),5))),"")</f>
        <v/>
      </c>
      <c r="C15" s="134" t="str">
        <f>IF(D15="buc",IF(B15&lt;&gt;"",INDEX(Deco!$C$2:$C$99,MATCH(B15,Deco!$Y$2:$Y$99,0)),""),IF(B15&lt;&gt;"",INDEX(Deco!$V$2:$V$99,MATCH(B15,Deco!$Y$2:$Y$99,0)),""))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15"/>
      <c r="B16" s="133" t="str" cm="1">
        <f t="array" ref="B16">IFERROR(_xlfn.SINGLE(INDEX(Deco!$Y$2:$Y$99,_xlfn.AGGREGATE(15,6,ROW(Deco!$Y$2:$Y$99)-ROW(Deco!$Y$2)+1/(Deco!$W$2:$W$99="PAL"),6))),"")</f>
        <v/>
      </c>
      <c r="C16" s="134" t="str">
        <f>IF(D16="buc",IF(B16&lt;&gt;"",INDEX(Deco!$C$2:$C$99,MATCH(B16,Deco!$Y$2:$Y$99,0)),""),IF(B16&lt;&gt;"",INDEX(Deco!$V$2:$V$99,MATCH(B16,Deco!$Y$2:$Y$99,0)),""))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15"/>
      <c r="B17" s="133" t="str" cm="1">
        <f t="array" ref="B17">IFERROR(_xlfn.SINGLE(INDEX(Deco!$Y$2:$Y$99,_xlfn.AGGREGATE(15,6,ROW(Deco!$Y$2:$Y$99)-ROW(Deco!$Y$2)+1/(Deco!$W$2:$W$99="PAL"),7))),"")</f>
        <v/>
      </c>
      <c r="C17" s="134" t="str">
        <f>IF(D17="buc",IF(B17&lt;&gt;"",INDEX(Deco!$C$2:$C$99,MATCH(B17,Deco!$Y$2:$Y$99,0)),""),IF(B17&lt;&gt;"",INDEX(Deco!$V$2:$V$99,MATCH(B17,Deco!$Y$2:$Y$99,0)),""))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15"/>
      <c r="B18" s="133" t="str" cm="1">
        <f t="array" ref="B18">IFERROR(_xlfn.SINGLE(INDEX(Deco!$Y$2:$Y$99,_xlfn.AGGREGATE(15,6,ROW(Deco!$Y$2:$Y$99)-ROW(Deco!$Y$2)+1/(Deco!$W$2:$W$99="PAL"),8))),"")</f>
        <v/>
      </c>
      <c r="C18" s="134" t="str">
        <f>IF(D18="buc",IF(B18&lt;&gt;"",INDEX(Deco!$C$2:$C$99,MATCH(B18,Deco!$Y$2:$Y$99,0)),""),IF(B18&lt;&gt;"",INDEX(Deco!$V$2:$V$99,MATCH(B18,Deco!$Y$2:$Y$99,0)),""))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15"/>
      <c r="B19" s="133" t="str" cm="1">
        <f t="array" ref="B19">IFERROR(_xlfn.SINGLE(INDEX(Deco!$Y$2:$Y$99,_xlfn.AGGREGATE(15,6,ROW(Deco!$Y$2:$Y$99)-ROW(Deco!$Y$2)+1/(Deco!$W$2:$W$99="PAL"),9))),"")</f>
        <v/>
      </c>
      <c r="C19" s="134" t="str">
        <f>IF(D19="buc",IF(B19&lt;&gt;"",INDEX(Deco!$C$2:$C$99,MATCH(B19,Deco!$Y$2:$Y$99,0)),""),IF(B19&lt;&gt;"",INDEX(Deco!$V$2:$V$99,MATCH(B19,Deco!$Y$2:$Y$99,0)),""))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15"/>
      <c r="B20" s="133" t="str" cm="1">
        <f t="array" ref="B20">IFERROR(_xlfn.SINGLE(INDEX(Deco!$Y$2:$Y$99,_xlfn.AGGREGATE(15,6,ROW(Deco!$Y$2:$Y$99)-ROW(Deco!$Y$2)+1/(Deco!$W$2:$W$99="PAL"),10))),"")</f>
        <v/>
      </c>
      <c r="C20" s="134" t="str">
        <f>IF(D20="buc",IF(B20&lt;&gt;"",INDEX(Deco!$C$2:$C$99,MATCH(B20,Deco!$Y$2:$Y$99,0)),""),IF(B20&lt;&gt;"",INDEX(Deco!$V$2:$V$99,MATCH(B20,Deco!$Y$2:$Y$99,0)),""))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15"/>
      <c r="B21" s="133" t="str" cm="1">
        <f t="array" ref="B21">IFERROR(_xlfn.SINGLE(INDEX(Deco!$Y$2:$Y$99,_xlfn.AGGREGATE(15,6,ROW(Deco!$Y$2:$Y$99)-ROW(Deco!$Y$2)+1/(Deco!$W$2:$W$99="PAL"),11))),"")</f>
        <v/>
      </c>
      <c r="C21" s="134" t="str">
        <f>IF(D21="buc",IF(B21&lt;&gt;"",INDEX(Deco!$C$2:$C$99,MATCH(B21,Deco!$Y$2:$Y$99,0)),""),IF(B21&lt;&gt;"",INDEX(Deco!$V$2:$V$99,MATCH(B21,Deco!$Y$2:$Y$99,0)),""))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216"/>
      <c r="B22" s="133" t="str" cm="1">
        <f t="array" ref="B22">IFERROR(_xlfn.SINGLE(INDEX(Deco!$Y$2:$Y$99,_xlfn.AGGREGATE(15,6,ROW(Deco!$Y$2:$Y$99)-ROW(Deco!$Y$2)+1/(Deco!$W$2:$W$99="PAL"),12))),"")</f>
        <v/>
      </c>
      <c r="C22" s="134" t="str">
        <f>IF(D22="buc",IF(B22&lt;&gt;"",INDEX(Deco!$C$2:$C$99,MATCH(B22,Deco!$Y$2:$Y$99,0)),""),IF(B22&lt;&gt;"",INDEX(Deco!$V$2:$V$99,MATCH(B22,Deco!$Y$2:$Y$99,0)),""))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14" t="s">
        <v>10</v>
      </c>
      <c r="B24" s="57" t="str">
        <f>IFERROR(INDEX(Deco!$Y$2:$Y$99,_xlfn.AGGREGATE(15,6,ROW(Deco!$Y$2:$Y$99)-ROW(Deco!$Y$2)+1/(Deco!$W$2:$W$99="MDF"),1)),"")</f>
        <v/>
      </c>
      <c r="C24" s="61" t="str">
        <f>IF(D24="buc",IF(B24&lt;&gt;"",INDEX(Deco!$C$2:$C$99,MATCH(B24,Deco!$Y$2:$Y$99,0)),""),IF(B24&lt;&gt;"",INDEX(Deco!$V$2:$V$99,MATCH(B24,Deco!$Y$2:$Y$99,0)),""))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89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1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1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15"/>
      <c r="B25" s="70" t="str">
        <f>IFERROR(INDEX(Deco!$Y$2:$Y$99,_xlfn.AGGREGATE(15,6,ROW(Deco!$Y$2:$Y$99)-ROW(Deco!$Y$2)+1/(Deco!$W$2:$W$99="MDF"),2)),"")</f>
        <v/>
      </c>
      <c r="C25" s="134" t="str">
        <f>IF(D25="buc",IF(B25&lt;&gt;"",INDEX(Deco!$C$2:$C$99,MATCH(B25,Deco!$Y$2:$Y$99,0)),""),IF(B25&lt;&gt;"",INDEX(Deco!$V$2:$V$99,MATCH(B25,Deco!$Y$2:$Y$99,0)),""))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5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2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2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15"/>
      <c r="B26" s="70" t="str" cm="1">
        <f t="array" ref="B26">IFERROR(_xlfn.SINGLE(INDEX(Deco!$Y$2:$Y$99,_xlfn.AGGREGATE(15,6,ROW(Deco!$Y$2:$Y$99)-ROW(Deco!$Y$2)+1/(Deco!$W$2:$W$99="MDF"),3))),"")</f>
        <v/>
      </c>
      <c r="C26" s="134" t="str">
        <f>IF(D26="buc",IF(B26&lt;&gt;"",INDEX(Deco!$C$2:$C$99,MATCH(B26,Deco!$Y$2:$Y$99,0)),""),IF(B26&lt;&gt;"",INDEX(Deco!$V$2:$V$99,MATCH(B26,Deco!$Y$2:$Y$99,0)),""))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5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2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2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15"/>
      <c r="B27" s="70" t="str" cm="1">
        <f t="array" ref="B27">IFERROR(_xlfn.SINGLE(INDEX(Deco!$Y$2:$Y$99,_xlfn.AGGREGATE(15,6,ROW(Deco!$Y$2:$Y$99)-ROW(Deco!$Y$2)+1/(Deco!$W$2:$W$99="MDF"),4))),"")</f>
        <v/>
      </c>
      <c r="C27" s="134" t="str">
        <f>IF(D27="buc",IF(B27&lt;&gt;"",INDEX(Deco!$C$2:$C$99,MATCH(B27,Deco!$Y$2:$Y$99,0)),""),IF(B27&lt;&gt;"",INDEX(Deco!$V$2:$V$99,MATCH(B27,Deco!$Y$2:$Y$99,0)),""))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5" t="str">
        <f t="shared" si="8"/>
        <v/>
      </c>
      <c r="G27" s="86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2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2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17"/>
      <c r="B28" s="70" t="str" cm="1">
        <f t="array" ref="B28">IFERROR(_xlfn.SINGLE(INDEX(Deco!$Y$2:$Y$99,_xlfn.AGGREGATE(15,6,ROW(Deco!$Y$2:$Y$99)-ROW(Deco!$Y$2)+1/(Deco!$W$2:$W$99="MDF"),5))),"")</f>
        <v/>
      </c>
      <c r="C28" s="134" t="str">
        <f>IF(D28="buc",IF(B28&lt;&gt;"",INDEX(Deco!$C$2:$C$99,MATCH(B28,Deco!$Y$2:$Y$99,0)),""),IF(B28&lt;&gt;"",INDEX(Deco!$V$2:$V$99,MATCH(B28,Deco!$Y$2:$Y$99,0)),""))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70" t="str">
        <f t="shared" si="8"/>
        <v/>
      </c>
      <c r="G28" s="141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2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247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7" t="str">
        <f>CONCATENATE(F32)</f>
        <v/>
      </c>
      <c r="I32" s="173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1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1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48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8" t="str">
        <f>CONCATENATE(F33)</f>
        <v/>
      </c>
      <c r="I33" s="174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2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2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49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86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247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IF(B36&lt;&gt;"",TRIM(LEFT(B36,LEN(B36)-3)),"")</f>
        <v/>
      </c>
      <c r="G36" s="90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7" t="str">
        <f>CONCATENATE(F36)</f>
        <v/>
      </c>
      <c r="I36" s="173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1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1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48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IF(B37&lt;&gt;"",TRIM(LEFT(B37,LEN(B37)-3)),"")</f>
        <v/>
      </c>
      <c r="G37" s="86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5" t="str">
        <f>CONCATENATE(F37)</f>
        <v/>
      </c>
      <c r="I37" s="174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2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2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49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IF(B38&lt;&gt;"",TRIM(LEFT(B38,LEN(B38)-3)),"")</f>
        <v/>
      </c>
      <c r="G38" s="141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2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14" t="s">
        <v>51</v>
      </c>
      <c r="B40" s="32" t="s">
        <v>68</v>
      </c>
      <c r="C40" s="32" t="s">
        <v>72</v>
      </c>
      <c r="D40" s="18" t="s">
        <v>52</v>
      </c>
      <c r="F40" s="207" t="s">
        <v>73</v>
      </c>
      <c r="G40" s="208"/>
      <c r="H40" s="208"/>
      <c r="I40" s="208"/>
      <c r="J40" s="208"/>
      <c r="K40" s="208"/>
      <c r="L40" s="208"/>
      <c r="M40" s="208"/>
      <c r="N40" s="208"/>
      <c r="O40" s="208"/>
      <c r="P40" s="208"/>
      <c r="Q40" s="208"/>
      <c r="R40" s="208"/>
      <c r="S40" s="209"/>
    </row>
    <row r="41" spans="1:19" ht="15.75" thickBot="1">
      <c r="A41" s="215"/>
      <c r="B41" s="35" t="s">
        <v>83</v>
      </c>
      <c r="C41" s="29">
        <f>SUMIF(Taiere!I2:I99, "PAL", Taiere!C2:C99)+SUMIF(Taiere!I2:I99, "DB", Taiere!C2:C99)</f>
        <v>0</v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215"/>
      <c r="B42" s="50" t="s">
        <v>90</v>
      </c>
      <c r="C42" s="37">
        <f>SUMIF(Taiere!I2:I99, "CLEAF", Taiere!C2:C99)</f>
        <v>0</v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75">
        <f>IF(COUNTIF(Deco!AA2:AA34,"Vezi EK")&gt;0,0,1)</f>
        <v>1</v>
      </c>
    </row>
    <row r="43" spans="1:19" ht="15.75" thickBot="1">
      <c r="A43" s="215"/>
      <c r="B43" s="50" t="s">
        <v>84</v>
      </c>
      <c r="C43" s="30">
        <f>SUMIF(B32:B34, "*/600", C32:C34) + SUMIF(B32:B34, "*/650", C32:C34)</f>
        <v>0</v>
      </c>
      <c r="D43" s="74" t="s">
        <v>55</v>
      </c>
      <c r="E43" s="2"/>
      <c r="F43" s="197" t="str">
        <f>IF(COUNTIF(Deco!AA2:AA34,"Vezi EK")&gt;0,"Atentie! Verifica EK dublaje","Nr. Piese Dublaje")</f>
        <v>Nr. Piese Dublaje</v>
      </c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76"/>
    </row>
    <row r="44" spans="1:19">
      <c r="A44" s="215"/>
      <c r="B44" s="50" t="s">
        <v>89</v>
      </c>
      <c r="C44" s="30">
        <f>SUMIF(B32:B34, "*/920", C32:C34)</f>
        <v>0</v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215"/>
      <c r="B45" s="33" t="s">
        <v>91</v>
      </c>
      <c r="C45" s="30">
        <f>SUM(C36:C38)</f>
        <v>0</v>
      </c>
      <c r="D45" s="74" t="str">
        <f>IF(I3="Mobilier în Roomdesigner", "ml", "buc")</f>
        <v>buc</v>
      </c>
      <c r="E45" s="2"/>
      <c r="F45" s="43" t="str" cm="1">
        <f t="array" ref="F45">IFERROR(_xlfn.SINGLE(INDEX(Deco!$Z$2:$Z$100,_xlfn.AGGREGATE(15,6,ROW(Deco!$Z$2:$Z$100)-ROW(Deco!$Z$2)+1/(Deco!$W$2:$W$100="DB"),1))),"")</f>
        <v/>
      </c>
      <c r="G45" s="31" t="str">
        <f>IFERROR(IF(F45&lt;&gt;"",INDEX(Deco!$V$2:$V$100,MATCH(F45,Deco!$Z$2:$Z$100,0)),""),"")</f>
        <v/>
      </c>
      <c r="H45" s="43" t="str" cm="1">
        <f t="array" ref="H45">IFERROR(_xlfn.SINGLE(INDEX(Deco!$Z$2:$Z$100,_xlfn.AGGREGATE(15,6,ROW(Deco!$Z$2:$Z$100)-ROW(Deco!$Z$2)+1/(Deco!$W$2:$W$100="DB"),2))),"")</f>
        <v/>
      </c>
      <c r="I45" s="31" t="str">
        <f>IFERROR(IF(H45&lt;&gt;"",INDEX(Deco!$V$2:$V$100,MATCH(H45,Deco!$Z$2:$Z$100,0)),""),"")</f>
        <v/>
      </c>
      <c r="J45" s="71" t="str" cm="1">
        <f t="array" ref="J45">IFERROR(_xlfn.SINGLE(INDEX(Deco!$Z$2:$Z$100,_xlfn.AGGREGATE(15,6,ROW(Deco!$Z$2:$Z$100)-ROW(Deco!$Z$2)+1/(Deco!$W$2:$W$100="DB"),3))),"")</f>
        <v/>
      </c>
      <c r="K45" s="31" t="str">
        <f>IFERROR(IF(J45&lt;&gt;"",INDEX(Deco!$V$2:$V$100,MATCH(J45,Deco!$Z$2:$Z$100,0)),""),"")</f>
        <v/>
      </c>
      <c r="L45" s="71" t="str" cm="1">
        <f t="array" ref="L45">IFERROR(_xlfn.SINGLE(INDEX(Deco!$Z$2:$Z$100,_xlfn.AGGREGATE(15,6,ROW(Deco!$Z$2:$Z$100)-ROW(Deco!$Z$2)+1/(Deco!$W$2:$W$100="DB"),4))),"")</f>
        <v/>
      </c>
      <c r="M45" s="31" t="str">
        <f>IFERROR(IF(L45&lt;&gt;"",INDEX(Deco!$V$2:$V$100,MATCH(L45,Deco!$Z$2:$Z$100,0)),""),"")</f>
        <v/>
      </c>
      <c r="N45" s="71" t="str" cm="1">
        <f t="array" ref="N45">IFERROR(_xlfn.SINGLE(INDEX(Deco!$Z$2:$Z$100,_xlfn.AGGREGATE(15,6,ROW(Deco!$Z$2:$Z$100)-ROW(Deco!$Z$2)+1/(Deco!$W$2:$W$100="DB"),5))),"")</f>
        <v/>
      </c>
      <c r="O45" s="31" t="str">
        <f>IFERROR(IF(N45&lt;&gt;"",INDEX(Deco!$V$2:$V$100,MATCH(N45,Deco!$Z$2:$Z$100,0)),""),"")</f>
        <v/>
      </c>
      <c r="P45" s="71" t="str" cm="1">
        <f t="array" ref="P45">IFERROR(_xlfn.SINGLE(INDEX(Deco!$Z$2:$Z$100,_xlfn.AGGREGATE(15,6,ROW(Deco!$Z$2:$Z$100)-ROW(Deco!$Z$2)+1/(Deco!$W$2:$W$100="DB"),6))),"")</f>
        <v/>
      </c>
      <c r="Q45" s="31" t="str">
        <f>IFERROR(IF(P45&lt;&gt;"",INDEX(Deco!$V$2:$V$100,MATCH(P45,Deco!$Z$2:$Z$100,0)),""),"")</f>
        <v/>
      </c>
      <c r="R45" s="71" t="str" cm="1">
        <f t="array" ref="R45">IFERROR(_xlfn.SINGLE(INDEX(Deco!$Z$2:$Z$100,_xlfn.AGGREGATE(15,6,ROW(Deco!$Z$2:$Z$100)-ROW(Deco!$Z$2)+1/(Deco!$W$2:$W$100="DB"),7))),"")</f>
        <v/>
      </c>
      <c r="S45" s="44" t="str">
        <f>IFERROR(IF(R45&lt;&gt;"",INDEX(Deco!$V$2:$V$100,MATCH(R45,Deco!$Z$2:$Z$100,0)),""),"")</f>
        <v/>
      </c>
    </row>
    <row r="46" spans="1:19" ht="15.75" thickBot="1">
      <c r="A46" s="215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215"/>
      <c r="B47" s="33" t="s">
        <v>86</v>
      </c>
      <c r="C47" s="30">
        <f>SUMIF(Taiere!I2:I99, "MDF", Taiere!C2:C99)</f>
        <v>0</v>
      </c>
      <c r="D47" s="74" t="s">
        <v>54</v>
      </c>
      <c r="F47" s="175" t="s">
        <v>34</v>
      </c>
      <c r="G47" s="254" t="str">
        <f>IF(I6="PLAN M",SUM(C11:C28), "N/A")</f>
        <v>N/A</v>
      </c>
      <c r="J47" s="175" t="s">
        <v>88</v>
      </c>
      <c r="K47" s="243">
        <v>1</v>
      </c>
      <c r="N47" s="175" t="s">
        <v>110</v>
      </c>
      <c r="O47" s="177"/>
      <c r="P47" s="178"/>
      <c r="R47" s="175" t="s">
        <v>116</v>
      </c>
      <c r="S47" s="175"/>
    </row>
    <row r="48" spans="1:19" ht="15.75" thickBot="1">
      <c r="A48" s="217"/>
      <c r="B48" s="36" t="s">
        <v>87</v>
      </c>
      <c r="C48" s="31">
        <f>SUM(F45:S45)</f>
        <v>0</v>
      </c>
      <c r="D48" s="72" t="s">
        <v>55</v>
      </c>
      <c r="F48" s="223"/>
      <c r="G48" s="255"/>
      <c r="J48" s="223"/>
      <c r="K48" s="244"/>
      <c r="N48" s="176"/>
      <c r="O48" s="179"/>
      <c r="P48" s="180"/>
      <c r="R48" s="176"/>
      <c r="S48" s="223"/>
    </row>
    <row r="49" spans="1:19" ht="2.1" hidden="1" customHeight="1">
      <c r="A49" s="40"/>
      <c r="B49" s="41"/>
      <c r="C49" s="1"/>
      <c r="D49" s="2"/>
    </row>
    <row r="50" spans="1:19">
      <c r="A50" s="227" t="s">
        <v>66</v>
      </c>
      <c r="B50" s="234"/>
      <c r="C50" s="235"/>
      <c r="D50" s="235"/>
      <c r="E50" s="235"/>
      <c r="F50" s="235"/>
      <c r="G50" s="235"/>
      <c r="H50" s="235"/>
      <c r="I50" s="235"/>
      <c r="J50" s="235"/>
      <c r="K50" s="235"/>
      <c r="L50" s="235"/>
      <c r="M50" s="235"/>
      <c r="N50" s="235"/>
      <c r="O50" s="235"/>
      <c r="P50" s="235"/>
      <c r="Q50" s="235"/>
      <c r="R50" s="235"/>
      <c r="S50" s="236"/>
    </row>
    <row r="51" spans="1:19">
      <c r="A51" s="215"/>
      <c r="B51" s="237"/>
      <c r="C51" s="238"/>
      <c r="D51" s="238"/>
      <c r="E51" s="238"/>
      <c r="F51" s="238"/>
      <c r="G51" s="238"/>
      <c r="H51" s="238"/>
      <c r="I51" s="238"/>
      <c r="J51" s="238"/>
      <c r="K51" s="238"/>
      <c r="L51" s="238"/>
      <c r="M51" s="238"/>
      <c r="N51" s="238"/>
      <c r="O51" s="238"/>
      <c r="P51" s="238"/>
      <c r="Q51" s="238"/>
      <c r="R51" s="238"/>
      <c r="S51" s="239"/>
    </row>
    <row r="52" spans="1:19">
      <c r="A52" s="215"/>
      <c r="B52" s="237"/>
      <c r="C52" s="238"/>
      <c r="D52" s="238"/>
      <c r="E52" s="238"/>
      <c r="F52" s="238"/>
      <c r="G52" s="238"/>
      <c r="H52" s="238"/>
      <c r="I52" s="238"/>
      <c r="J52" s="238"/>
      <c r="K52" s="238"/>
      <c r="L52" s="238"/>
      <c r="M52" s="238"/>
      <c r="N52" s="238"/>
      <c r="O52" s="238"/>
      <c r="P52" s="238"/>
      <c r="Q52" s="238"/>
      <c r="R52" s="238"/>
      <c r="S52" s="239"/>
    </row>
    <row r="53" spans="1:19">
      <c r="A53" s="215"/>
      <c r="B53" s="237"/>
      <c r="C53" s="238"/>
      <c r="D53" s="238"/>
      <c r="E53" s="238"/>
      <c r="F53" s="238"/>
      <c r="G53" s="238"/>
      <c r="H53" s="238"/>
      <c r="I53" s="238"/>
      <c r="J53" s="238"/>
      <c r="K53" s="238"/>
      <c r="L53" s="238"/>
      <c r="M53" s="238"/>
      <c r="N53" s="238"/>
      <c r="O53" s="238"/>
      <c r="P53" s="238"/>
      <c r="Q53" s="238"/>
      <c r="R53" s="238"/>
      <c r="S53" s="239"/>
    </row>
    <row r="54" spans="1:19">
      <c r="A54" s="215"/>
      <c r="B54" s="237"/>
      <c r="C54" s="238"/>
      <c r="D54" s="238"/>
      <c r="E54" s="238"/>
      <c r="F54" s="238"/>
      <c r="G54" s="238"/>
      <c r="H54" s="238"/>
      <c r="I54" s="238"/>
      <c r="J54" s="238"/>
      <c r="K54" s="238"/>
      <c r="L54" s="238"/>
      <c r="M54" s="238"/>
      <c r="N54" s="238"/>
      <c r="O54" s="238"/>
      <c r="P54" s="238"/>
      <c r="Q54" s="238"/>
      <c r="R54" s="238"/>
      <c r="S54" s="239"/>
    </row>
    <row r="55" spans="1:19">
      <c r="A55" s="215"/>
      <c r="B55" s="237"/>
      <c r="C55" s="238"/>
      <c r="D55" s="238"/>
      <c r="E55" s="238"/>
      <c r="F55" s="238"/>
      <c r="G55" s="238"/>
      <c r="H55" s="238"/>
      <c r="I55" s="238"/>
      <c r="J55" s="238"/>
      <c r="K55" s="238"/>
      <c r="L55" s="238"/>
      <c r="M55" s="238"/>
      <c r="N55" s="238"/>
      <c r="O55" s="238"/>
      <c r="P55" s="238"/>
      <c r="Q55" s="238"/>
      <c r="R55" s="238"/>
      <c r="S55" s="239"/>
    </row>
    <row r="56" spans="1:19">
      <c r="A56" s="215"/>
      <c r="B56" s="237"/>
      <c r="C56" s="238"/>
      <c r="D56" s="238"/>
      <c r="E56" s="238"/>
      <c r="F56" s="238"/>
      <c r="G56" s="238"/>
      <c r="H56" s="238"/>
      <c r="I56" s="238"/>
      <c r="J56" s="238"/>
      <c r="K56" s="238"/>
      <c r="L56" s="238"/>
      <c r="M56" s="238"/>
      <c r="N56" s="238"/>
      <c r="O56" s="238"/>
      <c r="P56" s="238"/>
      <c r="Q56" s="238"/>
      <c r="R56" s="238"/>
      <c r="S56" s="239"/>
    </row>
    <row r="57" spans="1:19" ht="15.75" thickBot="1">
      <c r="A57" s="217"/>
      <c r="B57" s="240"/>
      <c r="C57" s="241"/>
      <c r="D57" s="241"/>
      <c r="E57" s="241"/>
      <c r="F57" s="241"/>
      <c r="G57" s="241"/>
      <c r="H57" s="241"/>
      <c r="I57" s="241"/>
      <c r="J57" s="241"/>
      <c r="K57" s="241"/>
      <c r="L57" s="241"/>
      <c r="M57" s="241"/>
      <c r="N57" s="241"/>
      <c r="O57" s="241"/>
      <c r="P57" s="241"/>
      <c r="Q57" s="241"/>
      <c r="R57" s="241"/>
      <c r="S57" s="242"/>
    </row>
  </sheetData>
  <mergeCells count="42">
    <mergeCell ref="I3:K3"/>
    <mergeCell ref="A50:A57"/>
    <mergeCell ref="A8:D9"/>
    <mergeCell ref="N9:O9"/>
    <mergeCell ref="B50:S57"/>
    <mergeCell ref="F47:F48"/>
    <mergeCell ref="J47:J48"/>
    <mergeCell ref="K47:K48"/>
    <mergeCell ref="P9:Q9"/>
    <mergeCell ref="A32:A34"/>
    <mergeCell ref="A36:A38"/>
    <mergeCell ref="J9:K9"/>
    <mergeCell ref="F9:G9"/>
    <mergeCell ref="G47:G48"/>
    <mergeCell ref="B4:D4"/>
    <mergeCell ref="I4:K4"/>
    <mergeCell ref="O1:S1"/>
    <mergeCell ref="O2:S2"/>
    <mergeCell ref="O6:S6"/>
    <mergeCell ref="F8:S8"/>
    <mergeCell ref="F40:S40"/>
    <mergeCell ref="A1:L1"/>
    <mergeCell ref="O3:S3"/>
    <mergeCell ref="O4:S4"/>
    <mergeCell ref="O5:S5"/>
    <mergeCell ref="A10:A22"/>
    <mergeCell ref="A24:A28"/>
    <mergeCell ref="R9:S9"/>
    <mergeCell ref="A40:A48"/>
    <mergeCell ref="B3:D3"/>
    <mergeCell ref="R47:R48"/>
    <mergeCell ref="S47:S48"/>
    <mergeCell ref="S42:S43"/>
    <mergeCell ref="N47:N48"/>
    <mergeCell ref="O47:P48"/>
    <mergeCell ref="L9:M9"/>
    <mergeCell ref="B5:D5"/>
    <mergeCell ref="H9:I9"/>
    <mergeCell ref="B6:D6"/>
    <mergeCell ref="I6:K6"/>
    <mergeCell ref="I5:K5"/>
    <mergeCell ref="F43:R43"/>
  </mergeCells>
  <phoneticPr fontId="10" type="noConversion"/>
  <pageMargins left="0.7" right="0.7" top="0.75" bottom="0.75" header="0.3" footer="0.3"/>
  <pageSetup paperSize="9" scale="64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workbookViewId="0">
      <selection activeCell="I15" sqref="I15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>
        <f>Fisa!C43</f>
        <v>0</v>
      </c>
      <c r="D187" t="str">
        <f t="shared" si="4"/>
        <v>CUT BLAT 600</v>
      </c>
    </row>
    <row r="188" spans="1:4">
      <c r="A188" t="s">
        <v>31</v>
      </c>
      <c r="B188">
        <f>Fisa!C44</f>
        <v>0</v>
      </c>
      <c r="D188" t="str">
        <f t="shared" si="4"/>
        <v>CUT BLAT 920</v>
      </c>
    </row>
    <row r="189" spans="1:4">
      <c r="A189" t="s">
        <v>32</v>
      </c>
      <c r="B189">
        <f>Fisa!C45</f>
        <v>0</v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>
        <f>Fisa!C47</f>
        <v>0</v>
      </c>
      <c r="D191" t="str">
        <f t="shared" si="4"/>
        <v>CUT MDF</v>
      </c>
    </row>
    <row r="192" spans="1:4">
      <c r="A192" t="s">
        <v>22</v>
      </c>
      <c r="B192">
        <f>Fisa!C41</f>
        <v>0</v>
      </c>
      <c r="D192" t="str">
        <f>CONCATENATE(A192,C192)</f>
        <v>CUT PAL</v>
      </c>
    </row>
    <row r="193" spans="1:4">
      <c r="A193" t="s">
        <v>94</v>
      </c>
      <c r="B193">
        <f>Fisa!C42</f>
        <v>0</v>
      </c>
      <c r="D193" t="str">
        <f t="shared" ref="D193:D194" si="5">CONCATENATE(A193,C193)</f>
        <v>CUT CLEAF</v>
      </c>
    </row>
    <row r="194" spans="1:4">
      <c r="A194" t="s">
        <v>23</v>
      </c>
      <c r="B194">
        <f>Fisa!C48</f>
        <v>0</v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2" t="s">
        <v>14</v>
      </c>
      <c r="B1" s="262"/>
      <c r="C1" s="262"/>
      <c r="D1" s="262"/>
      <c r="E1" s="262"/>
      <c r="F1" s="262"/>
      <c r="G1" s="262"/>
      <c r="H1" s="262"/>
      <c r="I1" s="262"/>
      <c r="J1" s="26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3">
        <f>Fisa!B3:D3</f>
        <v>0</v>
      </c>
      <c r="C3" s="263"/>
      <c r="D3" s="263"/>
      <c r="E3" s="263"/>
      <c r="F3" s="263"/>
      <c r="G3" s="263"/>
      <c r="H3" s="5"/>
      <c r="I3" s="5"/>
      <c r="J3" s="5"/>
      <c r="K3" s="5"/>
      <c r="L3" s="5"/>
    </row>
    <row r="4" spans="1:12" customFormat="1">
      <c r="A4" s="6" t="s">
        <v>7</v>
      </c>
      <c r="B4" s="264">
        <f>Fisa!B6</f>
        <v>0</v>
      </c>
      <c r="C4" s="26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abSelected="1" zoomScaleNormal="100" workbookViewId="0">
      <selection activeCell="V2" sqref="V2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 t="str">
        <f>IFERROR(IF(W2="DB",Q2/13.5, ROUND(Q2/P2,2)),"")</f>
        <v/>
      </c>
      <c r="W2" t="str">
        <f>IF(
    OR(
        AND(D2=2800,E2=2070,OR(B2=19,B2=19.3)),
        AND(D2=2800,E2=1220,B2=18),
        AND(D2=3050,E2=1300,B2=19.3),
        AND(D2=2800,E2=1300,B2=17.5),
        AND(D2=2800,E2=1300,B2=19),
        RIGHT(A2,6)="MDF 3D"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OR(
                        AND(D2=2800,E2=2070,OR(B2=38,B2=38.6)),
                        AND(D2=2800,E2=1220,B2=36),
                        AND(D2=3050,E2=1300,B2=38.6),
                        AND(D2=2800,E2=1300,B2=35),
                        AND(D2=2800,E2=1300,B2=38),
                        AND(RIGHT(A2,6)="MDF 3D",B2=36)
                    ),
                    "DB MDF",
                    IF(
                        AND(
                            D2=2800,
                            E2=2070,
                            OR(B2=36,B2=37.2,B2=32),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 /"&amp;E2,"")
&amp;IF(E2=640," PS",""),"")
&amp;IF(AND(OR(B2=8,B2=10,B2=16),D2=2800,E2=2070)," "&amp;B2&amp;"mm","")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/>
      </c>
      <c r="Z2" t="str">
        <f>IF(W2="DB",IF(OR(ISNUMBER(FIND(" ST",X2)),ISNUMBER(FIND(" SM",X2)),ISNUMBER(FIND(" PM",X2)),ISNUMBER(FIND("TM/ST7",X2)),ISNUMBER(FIND(" PG",X2)),ISNUMBER(FIND(" PA",X2))),SUBSTITUTE(X2," ","",1),X2)," ")</f>
        <v xml:space="preserve"> </v>
      </c>
      <c r="AA2" t="str">
        <f>IF(W2="DB", IF(V2=INT(V2),"OK", "Vezi EK"),"")</f>
        <v/>
      </c>
    </row>
    <row r="3" spans="1:27">
      <c r="R3" s="167"/>
      <c r="S3" s="164"/>
      <c r="T3" s="131"/>
      <c r="U3" s="145"/>
      <c r="V3" s="169" t="str">
        <f t="shared" ref="V3:V34" si="1">IFERROR(IF(W3="DB",Q3/13.5, ROUND(Q3/P3,2)),"")</f>
        <v/>
      </c>
      <c r="W3" t="str">
        <f t="shared" ref="W3:W34" si="2">IF(
    OR(
        AND(D3=2800,E3=2070,OR(B3=19,B3=19.3)),
        AND(D3=2800,E3=1220,B3=18),
        AND(D3=3050,E3=1300,B3=19.3),
        AND(D3=2800,E3=1300,B3=17.5),
        AND(D3=2800,E3=1300,B3=19),
        RIGHT(A3,6)="MDF 3D"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OR(
                        AND(D3=2800,E3=2070,OR(B3=38,B3=38.6)),
                        AND(D3=2800,E3=1220,B3=36),
                        AND(D3=3050,E3=1300,B3=38.6),
                        AND(D3=2800,E3=1300,B3=35),
                        AND(D3=2800,E3=1300,B3=38),
                        AND(RIGHT(A3,6)="MDF 3D",B3=36)
                    ),
                    "DB MDF",
                    IF(
                        AND(
                            D3=2800,
                            E3=2070,
                            OR(B3=36,B3=37.2,B3=32),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3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si="0"/>
        <v/>
      </c>
      <c r="Z3" t="str">
        <f t="shared" ref="Z3:Z34" si="4">IF(W3="DB",IF(OR(ISNUMBER(FIND(" ST",X3)),ISNUMBER(FIND(" SM",X3)),ISNUMBER(FIND(" PM",X3)),ISNUMBER(FIND("TM/ST7",X3)),ISNUMBER(FIND(" PG",X3)),ISNUMBER(FIND(" PA",X3))),SUBSTITUTE(X3," ","",1),X3)," ")</f>
        <v xml:space="preserve"> </v>
      </c>
      <c r="AA3" t="str">
        <f t="shared" ref="AA3:AA34" si="5">IF(W3="DB", IF(V3=INT(V3),"OK", "Vezi EK"),"")</f>
        <v/>
      </c>
    </row>
    <row r="4" spans="1:27">
      <c r="R4" s="167"/>
      <c r="S4" s="164"/>
      <c r="T4" s="145"/>
      <c r="U4" s="131"/>
      <c r="V4" s="169" t="str">
        <f t="shared" si="1"/>
        <v/>
      </c>
      <c r="W4" t="str">
        <f t="shared" si="2"/>
        <v>N/A</v>
      </c>
      <c r="X4" t="str">
        <f t="shared" si="3"/>
        <v/>
      </c>
      <c r="Y4" t="str">
        <f t="shared" si="0"/>
        <v/>
      </c>
      <c r="Z4" t="str">
        <f t="shared" si="4"/>
        <v xml:space="preserve"> </v>
      </c>
      <c r="AA4" t="str">
        <f t="shared" si="5"/>
        <v/>
      </c>
    </row>
    <row r="5" spans="1:27">
      <c r="R5" s="167"/>
      <c r="S5" s="164"/>
      <c r="T5" s="145"/>
      <c r="U5" s="131"/>
      <c r="V5" s="169" t="str">
        <f t="shared" si="1"/>
        <v/>
      </c>
      <c r="W5" t="str">
        <f t="shared" si="2"/>
        <v>N/A</v>
      </c>
      <c r="X5" t="str">
        <f t="shared" si="3"/>
        <v/>
      </c>
      <c r="Y5" t="str">
        <f t="shared" si="0"/>
        <v/>
      </c>
      <c r="Z5" t="str">
        <f t="shared" si="4"/>
        <v xml:space="preserve"> </v>
      </c>
      <c r="AA5" t="str">
        <f t="shared" si="5"/>
        <v/>
      </c>
    </row>
    <row r="6" spans="1:27">
      <c r="R6" s="167"/>
      <c r="S6" s="164"/>
      <c r="T6" s="145"/>
      <c r="U6" s="131"/>
      <c r="V6" s="169" t="str">
        <f t="shared" si="1"/>
        <v/>
      </c>
      <c r="W6" t="str">
        <f t="shared" si="2"/>
        <v>N/A</v>
      </c>
      <c r="X6" t="str">
        <f t="shared" si="3"/>
        <v/>
      </c>
      <c r="Y6" t="str">
        <f t="shared" si="0"/>
        <v/>
      </c>
      <c r="Z6" t="str">
        <f t="shared" si="4"/>
        <v xml:space="preserve"> </v>
      </c>
      <c r="AA6" t="str">
        <f t="shared" si="5"/>
        <v/>
      </c>
    </row>
    <row r="7" spans="1:27">
      <c r="R7" s="167"/>
      <c r="S7" s="164"/>
      <c r="T7" s="131"/>
      <c r="U7" s="131"/>
      <c r="V7" s="169" t="str">
        <f t="shared" si="1"/>
        <v/>
      </c>
      <c r="W7" t="str">
        <f t="shared" si="2"/>
        <v>N/A</v>
      </c>
      <c r="X7" t="str">
        <f t="shared" si="3"/>
        <v/>
      </c>
      <c r="Y7" t="str">
        <f t="shared" si="0"/>
        <v/>
      </c>
      <c r="Z7" t="str">
        <f t="shared" si="4"/>
        <v xml:space="preserve"> </v>
      </c>
      <c r="AA7" t="str">
        <f t="shared" si="5"/>
        <v/>
      </c>
    </row>
    <row r="8" spans="1:27">
      <c r="R8" s="167"/>
      <c r="S8" s="164"/>
      <c r="T8" s="145"/>
      <c r="U8" s="131"/>
      <c r="V8" s="169" t="str">
        <f t="shared" si="1"/>
        <v/>
      </c>
      <c r="W8" t="str">
        <f t="shared" si="2"/>
        <v>N/A</v>
      </c>
      <c r="X8" t="str">
        <f t="shared" si="3"/>
        <v/>
      </c>
      <c r="Y8" t="str">
        <f t="shared" si="0"/>
        <v/>
      </c>
      <c r="Z8" t="str">
        <f t="shared" si="4"/>
        <v xml:space="preserve"> </v>
      </c>
      <c r="AA8" t="str">
        <f t="shared" si="5"/>
        <v/>
      </c>
    </row>
    <row r="9" spans="1:27">
      <c r="R9" s="167"/>
      <c r="S9" s="164"/>
      <c r="T9" s="145"/>
      <c r="U9" s="129"/>
      <c r="V9" s="169" t="str">
        <f t="shared" si="1"/>
        <v/>
      </c>
      <c r="W9" t="str">
        <f t="shared" si="2"/>
        <v>N/A</v>
      </c>
      <c r="X9" t="str">
        <f t="shared" si="3"/>
        <v/>
      </c>
      <c r="Y9" t="str">
        <f t="shared" si="0"/>
        <v/>
      </c>
      <c r="Z9" t="str">
        <f t="shared" si="4"/>
        <v xml:space="preserve"> </v>
      </c>
      <c r="AA9" t="str">
        <f t="shared" si="5"/>
        <v/>
      </c>
    </row>
    <row r="10" spans="1:27">
      <c r="R10" s="167"/>
      <c r="S10" s="164"/>
      <c r="T10" s="145"/>
      <c r="U10" s="145"/>
      <c r="V10" s="169" t="str">
        <f t="shared" si="1"/>
        <v/>
      </c>
      <c r="W10" t="str">
        <f t="shared" si="2"/>
        <v>N/A</v>
      </c>
      <c r="X10" t="str">
        <f t="shared" si="3"/>
        <v/>
      </c>
      <c r="Y10" t="str">
        <f t="shared" si="0"/>
        <v/>
      </c>
      <c r="Z10" t="str">
        <f t="shared" si="4"/>
        <v xml:space="preserve"> </v>
      </c>
      <c r="AA10" t="str">
        <f t="shared" si="5"/>
        <v/>
      </c>
    </row>
    <row r="11" spans="1:27">
      <c r="R11" s="167"/>
      <c r="S11" s="164"/>
      <c r="T11" s="145"/>
      <c r="U11" s="145"/>
      <c r="V11" s="169" t="str">
        <f t="shared" si="1"/>
        <v/>
      </c>
      <c r="W11" t="str">
        <f t="shared" si="2"/>
        <v>N/A</v>
      </c>
      <c r="X11" t="str">
        <f t="shared" si="3"/>
        <v/>
      </c>
      <c r="Y11" t="str">
        <f t="shared" si="0"/>
        <v/>
      </c>
      <c r="Z11" t="str">
        <f t="shared" si="4"/>
        <v xml:space="preserve"> </v>
      </c>
      <c r="AA11" t="str">
        <f t="shared" si="5"/>
        <v/>
      </c>
    </row>
    <row r="12" spans="1:27">
      <c r="R12" s="167"/>
      <c r="S12" s="132"/>
      <c r="T12" s="132"/>
      <c r="U12" s="132"/>
      <c r="V12" s="169" t="str">
        <f t="shared" si="1"/>
        <v/>
      </c>
      <c r="W12" t="str">
        <f t="shared" si="2"/>
        <v>N/A</v>
      </c>
      <c r="X12" t="str">
        <f t="shared" si="3"/>
        <v/>
      </c>
      <c r="Y12" t="str">
        <f t="shared" si="0"/>
        <v/>
      </c>
      <c r="Z12" t="str">
        <f t="shared" si="4"/>
        <v xml:space="preserve"> </v>
      </c>
      <c r="AA12" t="str">
        <f t="shared" si="5"/>
        <v/>
      </c>
    </row>
    <row r="13" spans="1:27">
      <c r="R13" s="167"/>
      <c r="S13" s="160"/>
      <c r="T13" s="159"/>
      <c r="U13" s="165"/>
      <c r="V13" s="169" t="str">
        <f t="shared" si="1"/>
        <v/>
      </c>
      <c r="W13" t="str">
        <f t="shared" si="2"/>
        <v>N/A</v>
      </c>
      <c r="X13" t="str">
        <f t="shared" si="3"/>
        <v/>
      </c>
      <c r="Y13" t="str">
        <f t="shared" si="0"/>
        <v/>
      </c>
      <c r="Z13" t="str">
        <f t="shared" si="4"/>
        <v xml:space="preserve"> </v>
      </c>
      <c r="AA13" t="str">
        <f t="shared" si="5"/>
        <v/>
      </c>
    </row>
    <row r="14" spans="1:27">
      <c r="R14" s="167"/>
      <c r="S14" s="159"/>
      <c r="T14" s="160"/>
      <c r="U14" s="165"/>
      <c r="V14" s="169" t="str">
        <f t="shared" si="1"/>
        <v/>
      </c>
      <c r="W14" t="str">
        <f t="shared" si="2"/>
        <v>N/A</v>
      </c>
      <c r="X14" t="str">
        <f t="shared" si="3"/>
        <v/>
      </c>
      <c r="Y14" t="str">
        <f t="shared" si="0"/>
        <v/>
      </c>
      <c r="Z14" t="str">
        <f t="shared" si="4"/>
        <v xml:space="preserve"> </v>
      </c>
      <c r="AA14" t="str">
        <f t="shared" si="5"/>
        <v/>
      </c>
    </row>
    <row r="15" spans="1:27">
      <c r="R15" s="167"/>
      <c r="S15" s="160"/>
      <c r="T15" s="160"/>
      <c r="U15" s="132"/>
      <c r="V15" s="169" t="str">
        <f t="shared" si="1"/>
        <v/>
      </c>
      <c r="W15" t="str">
        <f t="shared" si="2"/>
        <v>N/A</v>
      </c>
      <c r="X15" t="str">
        <f t="shared" si="3"/>
        <v/>
      </c>
      <c r="Y15" t="str">
        <f t="shared" si="0"/>
        <v/>
      </c>
      <c r="Z15" t="str">
        <f t="shared" si="4"/>
        <v xml:space="preserve"> </v>
      </c>
      <c r="AA15" t="str">
        <f t="shared" si="5"/>
        <v/>
      </c>
    </row>
    <row r="16" spans="1:27">
      <c r="R16" s="168"/>
      <c r="S16" s="160"/>
      <c r="T16" s="160"/>
      <c r="U16" s="131"/>
      <c r="V16" s="169" t="str">
        <f t="shared" si="1"/>
        <v/>
      </c>
      <c r="W16" t="str">
        <f t="shared" si="2"/>
        <v>N/A</v>
      </c>
      <c r="X16" t="str">
        <f t="shared" si="3"/>
        <v/>
      </c>
      <c r="Y16" t="str">
        <f t="shared" ref="Y16:Y24" si="6">IF(W16="DB", " ",IF(OR(ISNUMBER(FIND(" ST",X16)),ISNUMBER(FIND(" SM",X16)),ISNUMBER(FIND(" PM",X16)),ISNUMBER(FIND(" TM",X16)),ISNUMBER(FIND(" PG",X16)),ISNUMBER(FIND(" PA",X16))),SUBSTITUTE(X16," ","",1),X16))</f>
        <v/>
      </c>
      <c r="Z16" t="str">
        <f t="shared" si="4"/>
        <v xml:space="preserve"> </v>
      </c>
      <c r="AA16" t="str">
        <f t="shared" si="5"/>
        <v/>
      </c>
    </row>
    <row r="17" spans="1:27">
      <c r="R17" s="168"/>
      <c r="S17" s="160"/>
      <c r="T17" s="160"/>
      <c r="U17" s="131"/>
      <c r="V17" s="169" t="str">
        <f t="shared" si="1"/>
        <v/>
      </c>
      <c r="W17" t="str">
        <f t="shared" si="2"/>
        <v>N/A</v>
      </c>
      <c r="X17" t="str">
        <f t="shared" si="3"/>
        <v/>
      </c>
      <c r="Y17" t="str">
        <f t="shared" si="6"/>
        <v/>
      </c>
      <c r="Z17" t="str">
        <f t="shared" si="4"/>
        <v xml:space="preserve"> </v>
      </c>
      <c r="AA17" t="str">
        <f t="shared" si="5"/>
        <v/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 t="str">
        <f t="shared" si="1"/>
        <v/>
      </c>
      <c r="W18" t="str">
        <f t="shared" si="2"/>
        <v>N/A</v>
      </c>
      <c r="X18" t="str">
        <f t="shared" si="3"/>
        <v/>
      </c>
      <c r="Y18" t="str">
        <f t="shared" si="6"/>
        <v/>
      </c>
      <c r="Z18" t="str">
        <f t="shared" si="4"/>
        <v xml:space="preserve"> </v>
      </c>
      <c r="AA18" t="str">
        <f t="shared" si="5"/>
        <v/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 t="str">
        <f t="shared" si="1"/>
        <v/>
      </c>
      <c r="W19" t="str">
        <f t="shared" si="2"/>
        <v>N/A</v>
      </c>
      <c r="X19" t="str">
        <f t="shared" si="3"/>
        <v/>
      </c>
      <c r="Y19" t="str">
        <f t="shared" si="6"/>
        <v/>
      </c>
      <c r="Z19" t="str">
        <f t="shared" si="4"/>
        <v xml:space="preserve"> </v>
      </c>
      <c r="AA19" t="str">
        <f t="shared" si="5"/>
        <v/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 t="str">
        <f t="shared" si="1"/>
        <v/>
      </c>
      <c r="W20" t="str">
        <f t="shared" si="2"/>
        <v>N/A</v>
      </c>
      <c r="X20" t="str">
        <f t="shared" si="3"/>
        <v/>
      </c>
      <c r="Y20" t="str">
        <f t="shared" si="6"/>
        <v/>
      </c>
      <c r="Z20" t="str">
        <f t="shared" si="4"/>
        <v xml:space="preserve"> </v>
      </c>
      <c r="AA20" t="str">
        <f t="shared" si="5"/>
        <v/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 t="str">
        <f t="shared" si="1"/>
        <v/>
      </c>
      <c r="W21" t="str">
        <f t="shared" si="2"/>
        <v>N/A</v>
      </c>
      <c r="X21" t="str">
        <f t="shared" si="3"/>
        <v/>
      </c>
      <c r="Y21" t="str">
        <f t="shared" si="6"/>
        <v/>
      </c>
      <c r="Z21" t="str">
        <f t="shared" si="4"/>
        <v xml:space="preserve"> </v>
      </c>
      <c r="AA21" t="str">
        <f t="shared" si="5"/>
        <v/>
      </c>
    </row>
    <row r="22" spans="1:27">
      <c r="V22" s="169" t="str">
        <f t="shared" si="1"/>
        <v/>
      </c>
      <c r="W22" t="str">
        <f t="shared" si="2"/>
        <v>N/A</v>
      </c>
      <c r="X22" t="str">
        <f t="shared" si="3"/>
        <v/>
      </c>
      <c r="Y22" t="str">
        <f t="shared" si="6"/>
        <v/>
      </c>
      <c r="Z22" t="str">
        <f t="shared" si="4"/>
        <v xml:space="preserve"> </v>
      </c>
      <c r="AA22" t="str">
        <f t="shared" si="5"/>
        <v/>
      </c>
    </row>
    <row r="23" spans="1:27">
      <c r="V23" s="169" t="str">
        <f t="shared" si="1"/>
        <v/>
      </c>
      <c r="W23" t="str">
        <f t="shared" si="2"/>
        <v>N/A</v>
      </c>
      <c r="X23" t="str">
        <f t="shared" si="3"/>
        <v/>
      </c>
      <c r="Y23" t="str">
        <f t="shared" si="6"/>
        <v/>
      </c>
      <c r="Z23" t="str">
        <f t="shared" si="4"/>
        <v xml:space="preserve"> </v>
      </c>
      <c r="AA23" t="str">
        <f t="shared" si="5"/>
        <v/>
      </c>
    </row>
    <row r="24" spans="1:27">
      <c r="V24" s="169" t="str">
        <f t="shared" si="1"/>
        <v/>
      </c>
      <c r="W24" t="str">
        <f t="shared" si="2"/>
        <v>N/A</v>
      </c>
      <c r="X24" t="str">
        <f t="shared" si="3"/>
        <v/>
      </c>
      <c r="Y24" t="str">
        <f t="shared" si="6"/>
        <v/>
      </c>
      <c r="Z24" t="str">
        <f t="shared" si="4"/>
        <v xml:space="preserve"> </v>
      </c>
      <c r="AA24" t="str">
        <f t="shared" si="5"/>
        <v/>
      </c>
    </row>
    <row r="25" spans="1:27">
      <c r="V25" s="169" t="str">
        <f t="shared" si="1"/>
        <v/>
      </c>
      <c r="W25" t="str">
        <f t="shared" si="2"/>
        <v>N/A</v>
      </c>
      <c r="X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9" t="str">
        <f t="shared" si="1"/>
        <v/>
      </c>
      <c r="W26" t="str">
        <f t="shared" si="2"/>
        <v>N/A</v>
      </c>
      <c r="X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9" t="str">
        <f t="shared" si="1"/>
        <v/>
      </c>
      <c r="W27" t="str">
        <f t="shared" si="2"/>
        <v>N/A</v>
      </c>
      <c r="X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9" t="str">
        <f t="shared" si="1"/>
        <v/>
      </c>
      <c r="W28" t="str">
        <f t="shared" si="2"/>
        <v>N/A</v>
      </c>
      <c r="X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9" t="str">
        <f t="shared" si="1"/>
        <v/>
      </c>
      <c r="W29" t="str">
        <f t="shared" si="2"/>
        <v>N/A</v>
      </c>
      <c r="X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9" t="str">
        <f t="shared" si="1"/>
        <v/>
      </c>
      <c r="W30" t="str">
        <f t="shared" si="2"/>
        <v>N/A</v>
      </c>
      <c r="X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9" t="str">
        <f t="shared" si="1"/>
        <v/>
      </c>
      <c r="W31" t="str">
        <f t="shared" si="2"/>
        <v>N/A</v>
      </c>
      <c r="X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9" t="str">
        <f t="shared" si="1"/>
        <v/>
      </c>
      <c r="W32" t="str">
        <f t="shared" si="2"/>
        <v>N/A</v>
      </c>
      <c r="X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9" t="str">
        <f t="shared" si="1"/>
        <v/>
      </c>
      <c r="W33" t="str">
        <f t="shared" si="2"/>
        <v>N/A</v>
      </c>
      <c r="X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9" t="str">
        <f t="shared" si="1"/>
        <v/>
      </c>
      <c r="W34" t="str">
        <f t="shared" si="2"/>
        <v>N/A</v>
      </c>
      <c r="X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A12" sqref="A1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I13" sqref="I13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2025-11-10T13:17:49Z</cp:lastPrinted>
  <dcterms:created xsi:type="dcterms:W3CDTF">2018-08-21T07:33:50Z</dcterms:created>
  <dcterms:modified xsi:type="dcterms:W3CDTF">2026-06-29T12:47:58Z</dcterms:modified>
</cp:coreProperties>
</file>