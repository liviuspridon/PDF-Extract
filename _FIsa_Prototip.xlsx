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C0E95382-2466-4C7B-BAEC-C6BFE40F2221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8" i="6" l="1"/>
  <c r="F23" i="6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9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W2" i="9"/>
  <c r="V2" i="9" s="1"/>
  <c r="AA2" i="9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W3" i="9"/>
  <c r="V3" i="9" s="1"/>
  <c r="W4" i="9"/>
  <c r="V4" i="9" s="1"/>
  <c r="W5" i="9"/>
  <c r="V5" i="9" s="1"/>
  <c r="W6" i="9"/>
  <c r="Z6" i="9" s="1"/>
  <c r="W7" i="9"/>
  <c r="W8" i="9"/>
  <c r="W9" i="9"/>
  <c r="W10" i="9"/>
  <c r="W11" i="9"/>
  <c r="W12" i="9"/>
  <c r="W13" i="9"/>
  <c r="W14" i="9"/>
  <c r="W15" i="9"/>
  <c r="W16" i="9"/>
  <c r="Z16" i="9" s="1"/>
  <c r="W17" i="9"/>
  <c r="Z17" i="9" s="1"/>
  <c r="W18" i="9"/>
  <c r="W19" i="9"/>
  <c r="Z19" i="9" s="1"/>
  <c r="W20" i="9"/>
  <c r="W21" i="9"/>
  <c r="W22" i="9"/>
  <c r="W23" i="9"/>
  <c r="W24" i="9"/>
  <c r="W25" i="9"/>
  <c r="W26" i="9"/>
  <c r="W27" i="9"/>
  <c r="W28" i="9"/>
  <c r="W29" i="9"/>
  <c r="W30" i="9"/>
  <c r="W31" i="9"/>
  <c r="Z31" i="9" s="1"/>
  <c r="W32" i="9"/>
  <c r="W33" i="9"/>
  <c r="W34" i="9"/>
  <c r="I24" i="19"/>
  <c r="I27" i="19"/>
  <c r="I28" i="19"/>
  <c r="Z30" i="9"/>
  <c r="Z18" i="9"/>
  <c r="Z27" i="9"/>
  <c r="Z28" i="9"/>
  <c r="D28" i="6" a="1"/>
  <c r="D28" i="6" s="1"/>
  <c r="D27" i="6" a="1"/>
  <c r="D27" i="6" s="1"/>
  <c r="D26" i="6" a="1"/>
  <c r="D26" i="6" s="1"/>
  <c r="D25" i="6" a="1"/>
  <c r="D25" i="6" s="1"/>
  <c r="D24" i="6" a="1"/>
  <c r="D24" i="6" s="1"/>
  <c r="D22" i="6" a="1"/>
  <c r="D22" i="6" s="1"/>
  <c r="D21" i="6" a="1"/>
  <c r="D21" i="6" s="1"/>
  <c r="D20" i="6" a="1"/>
  <c r="D20" i="6" s="1"/>
  <c r="D19" i="6" a="1"/>
  <c r="D19" i="6" s="1"/>
  <c r="D18" i="6" a="1"/>
  <c r="D18" i="6" s="1"/>
  <c r="D17" i="6" a="1"/>
  <c r="D17" i="6" s="1"/>
  <c r="D16" i="6" a="1"/>
  <c r="D16" i="6" s="1"/>
  <c r="D15" i="6" a="1"/>
  <c r="D15" i="6" s="1"/>
  <c r="D14" i="6" a="1"/>
  <c r="D14" i="6" s="1"/>
  <c r="D13" i="6" a="1"/>
  <c r="D13" i="6" s="1"/>
  <c r="D12" i="6" a="1"/>
  <c r="D12" i="6" s="1"/>
  <c r="D11" i="6" a="1"/>
  <c r="D11" i="6" s="1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V6" i="9" l="1"/>
  <c r="AA6" i="9"/>
  <c r="Z11" i="9"/>
  <c r="Z8" i="9"/>
  <c r="AA4" i="9"/>
  <c r="F43" i="6" s="1"/>
  <c r="AA3" i="9"/>
  <c r="Z4" i="9"/>
  <c r="AA5" i="9"/>
  <c r="Z5" i="9"/>
  <c r="Z2" i="9"/>
  <c r="Z15" i="9"/>
  <c r="Z12" i="9"/>
  <c r="Z34" i="9"/>
  <c r="Z22" i="9"/>
  <c r="Z33" i="9"/>
  <c r="Z21" i="9"/>
  <c r="Z32" i="9"/>
  <c r="Z20" i="9"/>
  <c r="Z26" i="9"/>
  <c r="Z25" i="9"/>
  <c r="Z13" i="9"/>
  <c r="Z24" i="9"/>
  <c r="Z14" i="9"/>
  <c r="Z23" i="9"/>
  <c r="I26" i="19"/>
  <c r="I25" i="19"/>
  <c r="Z9" i="9"/>
  <c r="Z7" i="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S47" i="6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J17" i="10"/>
  <c r="J16" i="10"/>
  <c r="J13" i="10"/>
  <c r="Z3" i="9"/>
  <c r="M12" i="10"/>
  <c r="M13" i="10"/>
  <c r="M16" i="10"/>
  <c r="M17" i="10"/>
  <c r="M18" i="10"/>
  <c r="H16" i="10"/>
  <c r="H17" i="10"/>
  <c r="H12" i="10"/>
  <c r="J12" i="10" s="1"/>
  <c r="H13" i="10"/>
  <c r="Z10" i="9"/>
  <c r="Y23" i="9" l="1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Y5" i="9"/>
  <c r="I23" i="6"/>
  <c r="Y4" i="9"/>
  <c r="Y7" i="9"/>
  <c r="Y8" i="9"/>
  <c r="Y9" i="9"/>
  <c r="Y10" i="9"/>
  <c r="B32" i="6" s="1" a="1"/>
  <c r="B32" i="6" s="1"/>
  <c r="Y3" i="9"/>
  <c r="Y2" i="9"/>
  <c r="B28" i="6" a="1"/>
  <c r="B28" i="6" s="1"/>
  <c r="F28" i="6" s="1"/>
  <c r="B21" i="6" a="1"/>
  <c r="B21" i="6" s="1"/>
  <c r="F21" i="6" s="1"/>
  <c r="B17" i="6" a="1"/>
  <c r="B17" i="6" s="1"/>
  <c r="F17" i="6" s="1"/>
  <c r="B18" i="6" a="1"/>
  <c r="B18" i="6" s="1"/>
  <c r="F18" i="6" s="1"/>
  <c r="B34" i="6" a="1"/>
  <c r="B34" i="6" s="1"/>
  <c r="B25" i="6"/>
  <c r="F25" i="6" s="1"/>
  <c r="B19" i="6" a="1"/>
  <c r="B19" i="6" s="1"/>
  <c r="F19" i="6" s="1"/>
  <c r="B20" i="6" a="1"/>
  <c r="B20" i="6" s="1"/>
  <c r="F20" i="6" s="1"/>
  <c r="B26" i="6" a="1"/>
  <c r="B26" i="6" s="1"/>
  <c r="F26" i="6" s="1"/>
  <c r="B37" i="6" a="1"/>
  <c r="B37" i="6" s="1"/>
  <c r="B22" i="6" a="1"/>
  <c r="B22" i="6" s="1"/>
  <c r="F22" i="6" s="1"/>
  <c r="B27" i="6" a="1"/>
  <c r="B27" i="6" s="1"/>
  <c r="F27" i="6" s="1"/>
  <c r="B38" i="6" a="1"/>
  <c r="B38" i="6" s="1"/>
  <c r="B24" i="6"/>
  <c r="F24" i="6" s="1"/>
  <c r="L19" i="6" l="1"/>
  <c r="L20" i="6"/>
  <c r="B36" i="6" a="1"/>
  <c r="B36" i="6" s="1"/>
  <c r="F36" i="6" s="1"/>
  <c r="B11" i="6"/>
  <c r="B33" i="6" a="1"/>
  <c r="B33" i="6" s="1"/>
  <c r="C33" i="6" s="1"/>
  <c r="C47" i="6"/>
  <c r="F15" i="6"/>
  <c r="B16" i="6" a="1"/>
  <c r="B16" i="6" s="1"/>
  <c r="F16" i="6" s="1"/>
  <c r="P45" i="6" a="1"/>
  <c r="P45" i="6" s="1"/>
  <c r="Q45" i="6" s="1"/>
  <c r="C42" i="6"/>
  <c r="C41" i="6"/>
  <c r="B13" i="6" a="1"/>
  <c r="B13" i="6" s="1"/>
  <c r="F13" i="6" s="1"/>
  <c r="F14" i="6"/>
  <c r="H45" i="6" a="1"/>
  <c r="H45" i="6" s="1"/>
  <c r="I45" i="6" s="1"/>
  <c r="R45" i="6" a="1"/>
  <c r="R45" i="6" s="1"/>
  <c r="S45" i="6" s="1"/>
  <c r="N45" i="6" a="1"/>
  <c r="N45" i="6" s="1"/>
  <c r="O45" i="6" s="1"/>
  <c r="B12" i="6" a="1"/>
  <c r="B12" i="6" s="1"/>
  <c r="F12" i="6" s="1"/>
  <c r="F38" i="6"/>
  <c r="C38" i="6"/>
  <c r="F32" i="6"/>
  <c r="C32" i="6"/>
  <c r="C34" i="6"/>
  <c r="F34" i="6"/>
  <c r="F37" i="6"/>
  <c r="C37" i="6"/>
  <c r="B30" i="6" a="1"/>
  <c r="B30" i="6" s="1"/>
  <c r="C46" i="6" s="1"/>
  <c r="L45" i="6" a="1"/>
  <c r="L45" i="6" s="1"/>
  <c r="M45" i="6" s="1"/>
  <c r="J45" i="6" a="1"/>
  <c r="J45" i="6" s="1"/>
  <c r="K45" i="6" s="1"/>
  <c r="F45" i="6" a="1"/>
  <c r="F45" i="6" s="1"/>
  <c r="G45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28" i="6"/>
  <c r="C27" i="6"/>
  <c r="C26" i="6"/>
  <c r="C25" i="6"/>
  <c r="C24" i="6"/>
  <c r="C22" i="6"/>
  <c r="C21" i="6"/>
  <c r="C20" i="6"/>
  <c r="C19" i="6"/>
  <c r="C18" i="6"/>
  <c r="C17" i="6"/>
  <c r="F11" i="6" l="1"/>
  <c r="C11" i="6"/>
  <c r="G28" i="6"/>
  <c r="C36" i="6"/>
  <c r="C44" i="6"/>
  <c r="F33" i="6"/>
  <c r="C43" i="6"/>
  <c r="C15" i="6"/>
  <c r="C16" i="6"/>
  <c r="C45" i="6"/>
  <c r="C14" i="6"/>
  <c r="C13" i="6"/>
  <c r="C12" i="6"/>
  <c r="G47" i="6" s="1"/>
  <c r="C48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14" i="6" l="1"/>
  <c r="O14" i="6"/>
  <c r="O15" i="6"/>
  <c r="S15" i="6"/>
  <c r="Q14" i="6"/>
  <c r="Q15" i="6"/>
  <c r="S23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H15" i="6"/>
  <c r="I15" i="6" s="1"/>
  <c r="R15" i="6"/>
  <c r="P15" i="6"/>
  <c r="J15" i="6"/>
  <c r="K15" i="6" s="1"/>
  <c r="P14" i="6"/>
  <c r="D46" i="7"/>
  <c r="N14" i="6"/>
  <c r="H14" i="6"/>
  <c r="I14" i="6" s="1"/>
  <c r="R14" i="6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Q22" i="6"/>
  <c r="B107" i="7" s="1"/>
  <c r="B141" i="7"/>
  <c r="O22" i="6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B106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A152" i="7"/>
  <c r="D152" i="7" s="1"/>
  <c r="B152" i="7"/>
  <c r="R33" i="6"/>
  <c r="S33" i="6" s="1"/>
  <c r="R34" i="6"/>
  <c r="S34" i="6" s="1"/>
  <c r="R32" i="6"/>
  <c r="S32" i="6" s="1"/>
  <c r="R38" i="6"/>
  <c r="A157" i="7" l="1"/>
  <c r="D157" i="7" s="1"/>
  <c r="Q33" i="6"/>
  <c r="A164" i="7"/>
  <c r="D164" i="7" s="1"/>
  <c r="Q34" i="6"/>
  <c r="A163" i="7"/>
  <c r="D163" i="7" s="1"/>
  <c r="O34" i="6"/>
  <c r="A179" i="7"/>
  <c r="D179" i="7" s="1"/>
  <c r="S37" i="6"/>
  <c r="B179" i="7" s="1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63" i="7"/>
  <c r="B174" i="7"/>
  <c r="D36" i="8" a="1"/>
  <c r="D36" i="8" s="1"/>
  <c r="B164" i="7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<sst xmlns="http://schemas.openxmlformats.org/spreadsheetml/2006/main" count="207" uniqueCount="119">
  <si>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</si>
  <si>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</si>
  <si>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</si>
  <si>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</si>
  <si>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</si>
  <si>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</si>
  <si>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</si>
  <si>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</si>
  <si>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</si>
  <si>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</si>
  <si>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</si>
  <si>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</si>
  <si>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</si>
  <si>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</si>
  <si>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</si>
  <si>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</si>
  <si>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</si>
  <si>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</si>
  <si>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</si>
  <si>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</si>
  <si>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</si>
  <si>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</si>
  <si>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</si>
  <si>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</si>
  <si>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</si>
  <si>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</si>
  <si>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</si>
  <si>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</si>
  <si>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</si>
  <si>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</si>
  <si>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</si>
  <si>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</si>
  <si>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</si>
  <si>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</si>
  <si>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</si>
  <si>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</si>
  <si>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</si>
  <si>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</si>
  <si>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</si>
  <si>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</si>
  <si>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</si>
  <si>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</si>
  <si>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</si>
  <si>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</si>
  <si>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</si>
  <si>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</si>
  <si>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</si>
  <si>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</si>
  <si>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</si>
  <si>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</si>
  <si>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</si>
  <si>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</si>
  <si>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</si>
  <si>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</si>
  <si>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</si>
  <si>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</si>
  <si>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</si>
  <si>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</si>
  <si>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</si>
  <si>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</si>
  <si>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</si>
  <si>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</si>
  <si>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</si>
  <si>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</si>
  <si>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</si>
  <si>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</si>
  <si>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</si>
  <si>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</si>
  <si>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</si>
  <si>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</si>
  <si>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</si>
  <si>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</si>
  <si>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</si>
  <si>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</si>
  <si>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</si>
  <si>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</si>
  <si>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</si>
  <si>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</si>
  <si>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</si>
  <si>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</si>
  <si>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</si>
  <si>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</si>
  <si>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</si>
  <si>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</si>
  <si>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</si>
  <si>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</si>
  <si>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</si>
  <si>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</si>
  <si>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</si>
  <si>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</si>
  <si>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</si>
  <si>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</si>
  <si>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</si>
  <si>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</si>
  <si>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</si>
  <si>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</si>
  <si>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</si>
  <si>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</si>
  <si>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</si>
  <si>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</si>
  <si>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</si>
  <si>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</si>
  <si>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</si>
  <si>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</si>
  <si>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</si>
  <si>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</si>
  <si>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</si>
  <si>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</si>
  <si>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</si>
  <si>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</si>
  <si>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</si>
  <si>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</si>
  <si>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</si>
  <si>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</si>
  <si>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</si>
  <si>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</si>
  <si>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</si>
  <si>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</si>
  <si>
    <t>SHK-W 960 ST7-2.0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</si>
</sst>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6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0" fillId="0" borderId="16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2" fillId="5" borderId="35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44" xfId="0" applyFont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zoomScaleNormal="100" workbookViewId="0">
      <selection activeCell="S38" sqref="S38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6" t="s">
        <v>37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8"/>
      <c r="M1" s="38" t="s">
        <v>71</v>
      </c>
      <c r="N1" s="39" t="s">
        <v>65</v>
      </c>
      <c r="O1" s="196" t="s">
        <v>70</v>
      </c>
      <c r="P1" s="197"/>
      <c r="Q1" s="197"/>
      <c r="R1" s="197"/>
      <c r="S1" s="198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4"/>
      <c r="O2" s="199"/>
      <c r="P2" s="200"/>
      <c r="Q2" s="200"/>
      <c r="R2" s="200"/>
      <c r="S2" s="201"/>
    </row>
    <row r="3" spans="1:19">
      <c r="A3" s="20" t="s">
        <v>50</v>
      </c>
      <c r="B3" s="216"/>
      <c r="C3" s="217"/>
      <c r="D3" s="218"/>
      <c r="H3" s="20" t="s">
        <v>60</v>
      </c>
      <c r="I3" s="220"/>
      <c r="J3" s="221"/>
      <c r="K3" s="222"/>
      <c r="M3" s="27">
        <v>2</v>
      </c>
      <c r="N3" s="76"/>
      <c r="O3" s="209"/>
      <c r="P3" s="194"/>
      <c r="Q3" s="194"/>
      <c r="R3" s="194"/>
      <c r="S3" s="195"/>
    </row>
    <row r="4" spans="1:19">
      <c r="A4" s="21" t="s">
        <v>48</v>
      </c>
      <c r="B4" s="252"/>
      <c r="C4" s="253"/>
      <c r="D4" s="254"/>
      <c r="H4" s="21" t="s">
        <v>61</v>
      </c>
      <c r="I4" s="255"/>
      <c r="J4" s="256"/>
      <c r="K4" s="257"/>
      <c r="M4" s="27">
        <v>3</v>
      </c>
      <c r="N4" s="76"/>
      <c r="O4" s="209"/>
      <c r="P4" s="194"/>
      <c r="Q4" s="194"/>
      <c r="R4" s="194"/>
      <c r="S4" s="195"/>
    </row>
    <row r="5" spans="1:19">
      <c r="A5" s="21" t="s">
        <v>49</v>
      </c>
      <c r="B5" s="179"/>
      <c r="C5" s="180"/>
      <c r="D5" s="181"/>
      <c r="H5" s="21" t="s">
        <v>62</v>
      </c>
      <c r="I5" s="193"/>
      <c r="J5" s="194"/>
      <c r="K5" s="195"/>
      <c r="M5" s="27">
        <v>4</v>
      </c>
      <c r="N5" s="76"/>
      <c r="O5" s="209"/>
      <c r="P5" s="194"/>
      <c r="Q5" s="194"/>
      <c r="R5" s="194"/>
      <c r="S5" s="195"/>
    </row>
    <row r="6" spans="1:19" ht="15.75" thickBot="1">
      <c r="A6" s="22" t="s">
        <v>7</v>
      </c>
      <c r="B6" s="184"/>
      <c r="C6" s="185"/>
      <c r="D6" s="186"/>
      <c r="H6" s="22" t="s">
        <v>63</v>
      </c>
      <c r="I6" s="187"/>
      <c r="J6" s="188"/>
      <c r="K6" s="189"/>
      <c r="M6" s="28">
        <v>5</v>
      </c>
      <c r="N6" s="77"/>
      <c r="O6" s="202"/>
      <c r="P6" s="188"/>
      <c r="Q6" s="188"/>
      <c r="R6" s="188"/>
      <c r="S6" s="189"/>
    </row>
    <row r="7" spans="1:19" s="51" customFormat="1" ht="2.1" hidden="1" customHeight="1" thickBot="1"/>
    <row r="8" spans="1:19" ht="15.75" customHeight="1" thickBot="1">
      <c r="A8" s="224" t="s">
        <v>1</v>
      </c>
      <c r="B8" s="225"/>
      <c r="C8" s="225"/>
      <c r="D8" s="226"/>
      <c r="F8" s="190" t="s">
        <v>74</v>
      </c>
      <c r="G8" s="191"/>
      <c r="H8" s="191"/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2"/>
    </row>
    <row r="9" spans="1:19" ht="15.75" thickBot="1">
      <c r="A9" s="227"/>
      <c r="B9" s="228"/>
      <c r="C9" s="228"/>
      <c r="D9" s="229"/>
      <c r="F9" s="248" t="s">
        <v>28</v>
      </c>
      <c r="G9" s="249"/>
      <c r="H9" s="182" t="s">
        <v>29</v>
      </c>
      <c r="I9" s="183"/>
      <c r="J9" s="246" t="s">
        <v>16</v>
      </c>
      <c r="K9" s="247"/>
      <c r="L9" s="177" t="s">
        <v>19</v>
      </c>
      <c r="M9" s="178"/>
      <c r="N9" s="214" t="s">
        <v>82</v>
      </c>
      <c r="O9" s="215"/>
      <c r="P9" s="241" t="s">
        <v>69</v>
      </c>
      <c r="Q9" s="242"/>
      <c r="R9" s="214" t="s">
        <v>18</v>
      </c>
      <c r="S9" s="215"/>
    </row>
    <row r="10" spans="1:19" ht="15.75" thickBot="1">
      <c r="A10" s="210" t="s">
        <v>9</v>
      </c>
      <c r="B10" s="23" t="s">
        <v>64</v>
      </c>
      <c r="C10" s="23" t="s">
        <v>72</v>
      </c>
      <c r="D10" s="23" t="s">
        <v>52</v>
      </c>
      <c r="E10" s="2"/>
      <c r="F10" s="85" t="s">
        <v>64</v>
      </c>
      <c r="G10" s="85" t="s">
        <v>72</v>
      </c>
      <c r="H10" s="97" t="s">
        <v>64</v>
      </c>
      <c r="I10" s="97" t="s">
        <v>72</v>
      </c>
      <c r="J10" s="107" t="s">
        <v>64</v>
      </c>
      <c r="K10" s="107" t="s">
        <v>72</v>
      </c>
      <c r="L10" s="116" t="s">
        <v>64</v>
      </c>
      <c r="M10" s="116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11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6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6" t="str">
        <f>IFERROR(IF(AND(F11&lt;&gt;"",SUMIFS(Cant!$I$2:$I$99,Cant!$M$2:$M$99,F11,Cant!$J$2:$J$99,"22/0.4")&gt;0),SUMIFS(Cant!$I$2:$I$99,Cant!$M$2:$M$99,F11,Cant!$J$2:$J$99,"22/0.4"),""),"")</f>
        <v/>
      </c>
      <c r="H11" s="98" t="str">
        <f>CONCATENATE(F11)</f>
        <v/>
      </c>
      <c r="I11" s="13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8" t="str">
        <f>CONCATENATE(F11)</f>
        <v/>
      </c>
      <c r="K11" s="138" t="str">
        <f>IFERROR(IF(AND(J11&lt;&gt;"",SUMIFS(Cant!$I$2:$I$99,Cant!$M$2:$M$99,J11,Cant!$J$2:$J$99,"23/0.8")&gt;0),SUMIFS(Cant!$I$2:$I$99,Cant!$M$2:$M$99,J11,Cant!$J$2:$J$99,"23/0.8"),""),"")</f>
        <v/>
      </c>
      <c r="L11" s="117" t="str">
        <f>CONCATENATE(F11)</f>
        <v/>
      </c>
      <c r="M11" s="139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40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1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11"/>
      <c r="B12" s="134" t="str" cm="1">
        <f t="array" ref="B12">IFERROR(_xlfn.SINGLE(INDEX(Deco!$Y$2:$Y$99,_xlfn.AGGREGATE(15,6,ROW(Deco!$Y$2:$Y$99)-ROW(Deco!$Y$2)+1/(Deco!$W$2:$W$99="PAL"),2))),"")</f>
        <v/>
      </c>
      <c r="C12" s="135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6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6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9" t="str">
        <f>CONCATENATE(F12)</f>
        <v/>
      </c>
      <c r="I12" s="137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9" t="str">
        <f>CONCATENATE(F12)</f>
        <v/>
      </c>
      <c r="K12" s="138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8" t="str">
        <f>CONCATENATE(F12)</f>
        <v/>
      </c>
      <c r="M12" s="139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40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1" t="str">
        <f>IF(AND(F12&lt;&gt;"",COUNTIF($F$11:F11,F12)&gt;0),"",IFERROR(IF(AND(P12&lt;&gt;"",SUMIFS(Cant!$I$2:$I$99,Cant!$M$2:$M$99,P12,Cant!$J$2:$J$99,"43/1.0")&gt;0),SUMIFS(Cant!$I$2:$I$99,Cant!$M$2:$M$99,P12,Cant!$J$2:$J$99,"43/1.0"),""),""))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IF(AND(F12&lt;&gt;"",COUNTIF($F$11:F11,F12)&gt;0),"",IFERROR(IF(AND(R12&lt;&gt;"",SUMIFS(Cant!$I$2:$I$99,Cant!$M$2:$M$99,R12,Cant!$J$2:$J$99,"43/1.0")&gt;0),SUMIFS(Cant!$I$2:$I$99,Cant!$M$2:$M$99,R12,Cant!$J$2:$J$99,"43/1.0"),""),""))</f>
        <v/>
      </c>
    </row>
    <row r="13" spans="1:19">
      <c r="A13" s="211"/>
      <c r="B13" s="134" t="str" cm="1">
        <f t="array" ref="B13">IFERROR(_xlfn.SINGLE(INDEX(Deco!$Y$2:$Y$99,_xlfn.AGGREGATE(15,6,ROW(Deco!$Y$2:$Y$99)-ROW(Deco!$Y$2)+1/(Deco!$W$2:$W$99="PAL"),3))),"")</f>
        <v/>
      </c>
      <c r="C13" s="135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6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6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9" t="str">
        <f t="shared" ref="H13:H22" si="1">CONCATENATE(F13)</f>
        <v/>
      </c>
      <c r="I13" s="137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9" t="str">
        <f t="shared" ref="J13:J22" si="2">CONCATENATE(F13)</f>
        <v/>
      </c>
      <c r="K13" s="138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8" t="str">
        <f t="shared" ref="L13:L23" si="3">CONCATENATE(F13)</f>
        <v/>
      </c>
      <c r="M13" s="139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40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1" t="str">
        <f>IF(AND(F13&lt;&gt;"",COUNTIF($F$11:F12,F13)&gt;0),"",IFERROR(IF(AND(P13&lt;&gt;"",SUMIFS(Cant!$I$2:$I$99,Cant!$M$2:$M$99,P13,Cant!$J$2:$J$99,"43/1.0")&gt;0),SUMIFS(Cant!$I$2:$I$99,Cant!$M$2:$M$99,P13,Cant!$J$2:$J$99,"43/1.0"),""),""))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IF(AND(F13&lt;&gt;"",COUNTIF($F$11:F12,F13)&gt;0),"",IFERROR(IF(AND(R13&lt;&gt;"",SUMIFS(Cant!$I$2:$I$99,Cant!$M$2:$M$99,R13,Cant!$J$2:$J$99,"43/1.0")&gt;0),SUMIFS(Cant!$I$2:$I$99,Cant!$M$2:$M$99,R13,Cant!$J$2:$J$99,"43/1.0"),""),""))</f>
        <v/>
      </c>
    </row>
    <row r="14" spans="1:19">
      <c r="A14" s="211"/>
      <c r="B14" s="134"/>
      <c r="C14" s="135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6" t="str">
        <f t="shared" si="0"/>
        <v/>
      </c>
      <c r="G14" s="136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9" t="str">
        <f t="shared" si="1"/>
        <v/>
      </c>
      <c r="I14" s="137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9" t="str">
        <f t="shared" si="2"/>
        <v/>
      </c>
      <c r="K14" s="138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8" t="str">
        <f t="shared" si="3"/>
        <v/>
      </c>
      <c r="M14" s="139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40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1" t="str">
        <f>IF(AND(F14&lt;&gt;"",COUNTIF($F$11:F13,F14)&gt;0),"",IFERROR(IF(AND(P14&lt;&gt;"",SUMIFS(Cant!$I$2:$I$99,Cant!$M$2:$M$99,P14,Cant!$J$2:$J$99,"43/1.0")&gt;0),SUMIFS(Cant!$I$2:$I$99,Cant!$M$2:$M$99,P14,Cant!$J$2:$J$99,"43/1.0"),""),""))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IF(AND(F14&lt;&gt;"",COUNTIF($F$11:F13,F14)&gt;0),"",IFERROR(IF(AND(R14&lt;&gt;"",SUMIFS(Cant!$I$2:$I$99,Cant!$M$2:$M$99,R14,Cant!$J$2:$J$99,"43/1.0")&gt;0),SUMIFS(Cant!$I$2:$I$99,Cant!$M$2:$M$99,R14,Cant!$J$2:$J$99,"43/1.0"),""),""))</f>
        <v/>
      </c>
    </row>
    <row r="15" spans="1:19">
      <c r="A15" s="211"/>
      <c r="B15" s="134"/>
      <c r="C15" s="135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6" t="str">
        <f t="shared" si="0"/>
        <v/>
      </c>
      <c r="G15" s="136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9" t="str">
        <f t="shared" si="1"/>
        <v/>
      </c>
      <c r="I15" s="137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9" t="str">
        <f t="shared" si="2"/>
        <v/>
      </c>
      <c r="K15" s="138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8" t="str">
        <f t="shared" si="3"/>
        <v/>
      </c>
      <c r="M15" s="139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40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1" t="str">
        <f>IF(AND(F15&lt;&gt;"",COUNTIF($F$11:F14,F15)&gt;0),"",IFERROR(IF(AND(P15&lt;&gt;"",SUMIFS(Cant!$I$2:$I$99,Cant!$M$2:$M$99,P15,Cant!$J$2:$J$99,"43/1.0")&gt;0),SUMIFS(Cant!$I$2:$I$99,Cant!$M$2:$M$99,P15,Cant!$J$2:$J$99,"43/1.0"),""),""))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IF(AND(F15&lt;&gt;"",COUNTIF($F$11:F14,F15)&gt;0),"",IFERROR(IF(AND(R15&lt;&gt;"",SUMIFS(Cant!$I$2:$I$99,Cant!$M$2:$M$99,R15,Cant!$J$2:$J$99,"43/1.0")&gt;0),SUMIFS(Cant!$I$2:$I$99,Cant!$M$2:$M$99,R15,Cant!$J$2:$J$99,"43/1.0"),""),""))</f>
        <v/>
      </c>
    </row>
    <row r="16" spans="1:19">
      <c r="A16" s="211"/>
      <c r="B16" s="134" t="str" cm="1">
        <f t="array" ref="B16">IFERROR(_xlfn.SINGLE(INDEX(Deco!$Y$2:$Y$99,_xlfn.AGGREGATE(15,6,ROW(Deco!$Y$2:$Y$99)-ROW(Deco!$Y$2)+1/(Deco!$W$2:$W$99="PAL"),6))),"")</f>
        <v/>
      </c>
      <c r="C16" s="135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6" t="str">
        <f t="shared" si="0"/>
        <v/>
      </c>
      <c r="G16" s="136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9" t="str">
        <f t="shared" si="1"/>
        <v/>
      </c>
      <c r="I16" s="137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9" t="str">
        <f t="shared" si="2"/>
        <v/>
      </c>
      <c r="K16" s="138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8" t="str">
        <f t="shared" si="3"/>
        <v/>
      </c>
      <c r="M16" s="139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40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1" t="str">
        <f>IF(AND(F16&lt;&gt;"",COUNTIF($F$11:F15,F16)&gt;0),"",IFERROR(IF(AND(P16&lt;&gt;"",SUMIFS(Cant!$I$2:$I$99,Cant!$M$2:$M$99,P16,Cant!$J$2:$J$99,"43/1.0")&gt;0),SUMIFS(Cant!$I$2:$I$99,Cant!$M$2:$M$99,P16,Cant!$J$2:$J$99,"43/1.0"),""),""))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IF(AND(F16&lt;&gt;"",COUNTIF($F$11:F15,F16)&gt;0),"",IFERROR(IF(AND(R16&lt;&gt;"",SUMIFS(Cant!$I$2:$I$99,Cant!$M$2:$M$99,R16,Cant!$J$2:$J$99,"43/1.0")&gt;0),SUMIFS(Cant!$I$2:$I$99,Cant!$M$2:$M$99,R16,Cant!$J$2:$J$99,"43/1.0"),""),""))</f>
        <v/>
      </c>
    </row>
    <row r="17" spans="1:19">
      <c r="A17" s="211"/>
      <c r="B17" s="134" t="str" cm="1">
        <f t="array" ref="B17">IFERROR(_xlfn.SINGLE(INDEX(Deco!$Y$2:$Y$99,_xlfn.AGGREGATE(15,6,ROW(Deco!$Y$2:$Y$99)-ROW(Deco!$Y$2)+1/(Deco!$W$2:$W$99="PAL"),7))),"")</f>
        <v/>
      </c>
      <c r="C17" s="135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6" t="str">
        <f t="shared" si="0"/>
        <v/>
      </c>
      <c r="G17" s="136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9" t="str">
        <f t="shared" si="1"/>
        <v/>
      </c>
      <c r="I17" s="137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9" t="str">
        <f t="shared" si="2"/>
        <v/>
      </c>
      <c r="K17" s="138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8" t="str">
        <f t="shared" si="3"/>
        <v/>
      </c>
      <c r="M17" s="139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40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1" t="str">
        <f>IF(AND(F17&lt;&gt;"",COUNTIF($F$11:F16,F17)&gt;0),"",IFERROR(IF(AND(P17&lt;&gt;"",SUMIFS(Cant!$I$2:$I$99,Cant!$M$2:$M$99,P17,Cant!$J$2:$J$99,"43/1.0")&gt;0),SUMIFS(Cant!$I$2:$I$99,Cant!$M$2:$M$99,P17,Cant!$J$2:$J$99,"43/1.0"),""),""))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IF(AND(F17&lt;&gt;"",COUNTIF($F$11:F16,F17)&gt;0),"",IFERROR(IF(AND(R17&lt;&gt;"",SUMIFS(Cant!$I$2:$I$99,Cant!$M$2:$M$99,R17,Cant!$J$2:$J$99,"43/1.0")&gt;0),SUMIFS(Cant!$I$2:$I$99,Cant!$M$2:$M$99,R17,Cant!$J$2:$J$99,"43/1.0"),""),""))</f>
        <v/>
      </c>
    </row>
    <row r="18" spans="1:19">
      <c r="A18" s="211"/>
      <c r="B18" s="134" t="str" cm="1">
        <f t="array" ref="B18">IFERROR(_xlfn.SINGLE(INDEX(Deco!$Y$2:$Y$99,_xlfn.AGGREGATE(15,6,ROW(Deco!$Y$2:$Y$99)-ROW(Deco!$Y$2)+1/(Deco!$W$2:$W$99="PAL"),8))),"")</f>
        <v/>
      </c>
      <c r="C18" s="135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6" t="str">
        <f t="shared" si="0"/>
        <v/>
      </c>
      <c r="G18" s="136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9" t="str">
        <f t="shared" si="1"/>
        <v/>
      </c>
      <c r="I18" s="137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9" t="str">
        <f t="shared" si="2"/>
        <v/>
      </c>
      <c r="K18" s="138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8" t="str">
        <f t="shared" si="3"/>
        <v/>
      </c>
      <c r="M18" s="139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40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1" t="str">
        <f>IF(AND(F18&lt;&gt;"",COUNTIF($F$11:F17,F18)&gt;0),"",IFERROR(IF(AND(P18&lt;&gt;"",SUMIFS(Cant!$I$2:$I$99,Cant!$M$2:$M$99,P18,Cant!$J$2:$J$99,"43/1.0")&gt;0),SUMIFS(Cant!$I$2:$I$99,Cant!$M$2:$M$99,P18,Cant!$J$2:$J$99,"43/1.0"),""),""))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IF(AND(F18&lt;&gt;"",COUNTIF($F$11:F17,F18)&gt;0),"",IFERROR(IF(AND(R18&lt;&gt;"",SUMIFS(Cant!$I$2:$I$99,Cant!$M$2:$M$99,R18,Cant!$J$2:$J$99,"43/1.0")&gt;0),SUMIFS(Cant!$I$2:$I$99,Cant!$M$2:$M$99,R18,Cant!$J$2:$J$99,"43/1.0"),""),""))</f>
        <v/>
      </c>
    </row>
    <row r="19" spans="1:19">
      <c r="A19" s="211"/>
      <c r="B19" s="134" t="str" cm="1">
        <f t="array" ref="B19">IFERROR(_xlfn.SINGLE(INDEX(Deco!$Y$2:$Y$99,_xlfn.AGGREGATE(15,6,ROW(Deco!$Y$2:$Y$99)-ROW(Deco!$Y$2)+1/(Deco!$W$2:$W$99="PAL"),9))),"")</f>
        <v/>
      </c>
      <c r="C19" s="135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6" t="str">
        <f t="shared" si="0"/>
        <v/>
      </c>
      <c r="G19" s="136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9" t="str">
        <f t="shared" si="1"/>
        <v/>
      </c>
      <c r="I19" s="137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9" t="str">
        <f t="shared" si="2"/>
        <v/>
      </c>
      <c r="K19" s="138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8" t="str">
        <f t="shared" si="3"/>
        <v/>
      </c>
      <c r="M19" s="139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40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1" t="str">
        <f>IF(AND(F19&lt;&gt;"",COUNTIF($F$11:F18,F19)&gt;0),"",IFERROR(IF(AND(P19&lt;&gt;"",SUMIFS(Cant!$I$2:$I$99,Cant!$M$2:$M$99,P19,Cant!$J$2:$J$99,"43/1.0")&gt;0),SUMIFS(Cant!$I$2:$I$99,Cant!$M$2:$M$99,P19,Cant!$J$2:$J$99,"43/1.0"),""),""))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IF(AND(F19&lt;&gt;"",COUNTIF($F$11:F18,F19)&gt;0),"",IFERROR(IF(AND(R19&lt;&gt;"",SUMIFS(Cant!$I$2:$I$99,Cant!$M$2:$M$99,R19,Cant!$J$2:$J$99,"43/1.0")&gt;0),SUMIFS(Cant!$I$2:$I$99,Cant!$M$2:$M$99,R19,Cant!$J$2:$J$99,"43/1.0"),""),""))</f>
        <v/>
      </c>
    </row>
    <row r="20" spans="1:19">
      <c r="A20" s="211"/>
      <c r="B20" s="134" t="str" cm="1">
        <f t="array" ref="B20">IFERROR(_xlfn.SINGLE(INDEX(Deco!$Y$2:$Y$99,_xlfn.AGGREGATE(15,6,ROW(Deco!$Y$2:$Y$99)-ROW(Deco!$Y$2)+1/(Deco!$W$2:$W$99="PAL"),10))),"")</f>
        <v/>
      </c>
      <c r="C20" s="135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6" t="str">
        <f t="shared" si="0"/>
        <v/>
      </c>
      <c r="G20" s="136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9" t="str">
        <f t="shared" si="1"/>
        <v/>
      </c>
      <c r="I20" s="137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9" t="str">
        <f t="shared" si="2"/>
        <v/>
      </c>
      <c r="K20" s="138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8" t="str">
        <f t="shared" si="3"/>
        <v/>
      </c>
      <c r="M20" s="139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40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1" t="str">
        <f>IF(AND(F20&lt;&gt;"",COUNTIF($F$11:F19,F20)&gt;0),"",IFERROR(IF(AND(P20&lt;&gt;"",SUMIFS(Cant!$I$2:$I$99,Cant!$M$2:$M$99,P20,Cant!$J$2:$J$99,"43/1.0")&gt;0),SUMIFS(Cant!$I$2:$I$99,Cant!$M$2:$M$99,P20,Cant!$J$2:$J$99,"43/1.0"),""),""))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IF(AND(F20&lt;&gt;"",COUNTIF($F$11:F19,F20)&gt;0),"",IFERROR(IF(AND(R20&lt;&gt;"",SUMIFS(Cant!$I$2:$I$99,Cant!$M$2:$M$99,R20,Cant!$J$2:$J$99,"43/1.0")&gt;0),SUMIFS(Cant!$I$2:$I$99,Cant!$M$2:$M$99,R20,Cant!$J$2:$J$99,"43/1.0"),""),""))</f>
        <v/>
      </c>
    </row>
    <row r="21" spans="1:19">
      <c r="A21" s="211"/>
      <c r="B21" s="134" t="str" cm="1">
        <f t="array" ref="B21">IFERROR(_xlfn.SINGLE(INDEX(Deco!$Y$2:$Y$99,_xlfn.AGGREGATE(15,6,ROW(Deco!$Y$2:$Y$99)-ROW(Deco!$Y$2)+1/(Deco!$W$2:$W$99="PAL"),11))),"")</f>
        <v/>
      </c>
      <c r="C21" s="135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6" t="str">
        <f t="shared" si="0"/>
        <v/>
      </c>
      <c r="G21" s="136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9" t="str">
        <f t="shared" si="1"/>
        <v/>
      </c>
      <c r="I21" s="137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9" t="str">
        <f t="shared" si="2"/>
        <v/>
      </c>
      <c r="K21" s="138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8" t="str">
        <f t="shared" si="3"/>
        <v/>
      </c>
      <c r="M21" s="139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40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1" t="str">
        <f>IF(AND(F21&lt;&gt;"",COUNTIF($F$11:F20,F21)&gt;0),"",IFERROR(IF(AND(P21&lt;&gt;"",SUMIFS(Cant!$I$2:$I$99,Cant!$M$2:$M$99,P21,Cant!$J$2:$J$99,"43/1.0")&gt;0),SUMIFS(Cant!$I$2:$I$99,Cant!$M$2:$M$99,P21,Cant!$J$2:$J$99,"43/1.0"),""),""))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IF(AND(F21&lt;&gt;"",COUNTIF($F$11:F20,F21)&gt;0),"",IFERROR(IF(AND(R21&lt;&gt;"",SUMIFS(Cant!$I$2:$I$99,Cant!$M$2:$M$99,R21,Cant!$J$2:$J$99,"43/1.0")&gt;0),SUMIFS(Cant!$I$2:$I$99,Cant!$M$2:$M$99,R21,Cant!$J$2:$J$99,"43/1.0"),""),""))</f>
        <v/>
      </c>
    </row>
    <row r="22" spans="1:19" ht="15.75" thickBot="1">
      <c r="A22" s="212"/>
      <c r="B22" s="134" t="str" cm="1">
        <f t="array" ref="B22">IFERROR(_xlfn.SINGLE(INDEX(Deco!$Y$2:$Y$99,_xlfn.AGGREGATE(15,6,ROW(Deco!$Y$2:$Y$99)-ROW(Deco!$Y$2)+1/(Deco!$W$2:$W$99="PAL"),12))),"")</f>
        <v/>
      </c>
      <c r="C22" s="135" t="str">
        <f>IF(D22="buc",IF(B22&lt;&gt;"",INDEX(Deco!$C$2:$C$99,MATCH(B22,Deco!$Y$2:$Y$99,0)),""),IF(B22&lt;&gt;"",INDEX(Deco!$V$2:$V$99,MATCH(B22,Deco!$Y$2:$Y$99,0)),""))</f>
        <v/>
      </c>
      <c r="D22" s="127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6" t="str">
        <f t="shared" si="0"/>
        <v/>
      </c>
      <c r="G22" s="136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9" t="str">
        <f t="shared" si="1"/>
        <v/>
      </c>
      <c r="I22" s="137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9" t="str">
        <f t="shared" si="2"/>
        <v/>
      </c>
      <c r="K22" s="138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8" t="str">
        <f t="shared" si="3"/>
        <v/>
      </c>
      <c r="M22" s="139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40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1" t="str">
        <f>IF(AND(F22&lt;&gt;"",COUNTIF($F$11:F21,F22)&gt;0),"",IFERROR(IF(AND(P22&lt;&gt;"",SUMIFS(Cant!$I$2:$I$99,Cant!$M$2:$M$99,P22,Cant!$J$2:$J$99,"43/1.0")&gt;0),SUMIFS(Cant!$I$2:$I$99,Cant!$M$2:$M$99,P22,Cant!$J$2:$J$99,"43/1.0"),""),""))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IF(AND(F22&lt;&gt;"",COUNTIF($F$11:F21,F22)&gt;0),"",IFERROR(IF(AND(R22&lt;&gt;"",SUMIFS(Cant!$I$2:$I$99,Cant!$M$2:$M$99,R22,Cant!$J$2:$J$99,"43/1.0")&gt;0),SUMIFS(Cant!$I$2:$I$99,Cant!$M$2:$M$99,R22,Cant!$J$2:$J$99,"43/1.0"),""),""))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6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9"/>
      <c r="H23" s="101"/>
      <c r="I23" s="147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1"/>
      <c r="K23" s="111"/>
      <c r="L23" s="150" t="str">
        <f t="shared" si="3"/>
        <v/>
      </c>
      <c r="M23" s="120"/>
      <c r="N23" s="152" t="str">
        <f t="shared" si="4"/>
        <v/>
      </c>
      <c r="O23" s="49"/>
      <c r="P23" s="49"/>
      <c r="Q23" s="49"/>
      <c r="R23" s="152" t="str">
        <f t="shared" si="6"/>
        <v/>
      </c>
      <c r="S23" s="37" t="str">
        <f>IF(AND(F23&lt;&gt;"",COUNTIF($F$11:F22,F23)&gt;0),"",IFERROR(IF(AND(R23&lt;&gt;"",SUMIFS(Cant!$I$2:$I$99,Cant!$M$2:$M$99,R23,Cant!$J$2:$J$99,"43/1.0")&gt;0),SUMIFS(Cant!$I$2:$I$99,Cant!$M$2:$M$99,R23,Cant!$J$2:$J$99,"43/1.0"),""),""))</f>
        <v/>
      </c>
    </row>
    <row r="24" spans="1:19">
      <c r="A24" s="210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90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1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8" t="str">
        <f>CONCATENATE(F24)</f>
        <v/>
      </c>
      <c r="I24" s="102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8" t="str">
        <f>CONCATENATE(F24)</f>
        <v/>
      </c>
      <c r="K24" s="112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7" t="str">
        <f>CONCATENATE(F24)</f>
        <v/>
      </c>
      <c r="M24" s="121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262" t="str">
        <f>IF(AND(F24&lt;&gt;"",COUNTIF($F$11:F23,F24)&gt;0),"",IFERROR(IF(AND(P24&lt;&gt;"",SUMIFS(Cant!$I$2:$I$99,Cant!$M$2:$M$99,P24,Cant!$J$2:$J$99,"43/1.0")&gt;0),SUMIFS(Cant!$I$2:$I$99,Cant!$M$2:$M$99,P24,Cant!$J$2:$J$99,"43/1.0"),""),""))</f>
        <v/>
      </c>
      <c r="R24" s="57" t="str">
        <f>CONCATENATE(F24)</f>
        <v/>
      </c>
      <c r="S24" s="262" t="str">
        <f>IF(AND(F24&lt;&gt;"",COUNTIF($F$11:F23,F24)&gt;0),"",IFERROR(IF(AND(R24&lt;&gt;"",SUMIFS(Cant!$I$2:$I$99,Cant!$M$2:$M$99,R24,Cant!$J$2:$J$99,"43/1.0")&gt;0),SUMIFS(Cant!$I$2:$I$99,Cant!$M$2:$M$99,R24,Cant!$J$2:$J$99,"43/1.0"),""),""))</f>
        <v/>
      </c>
    </row>
    <row r="25" spans="1:19">
      <c r="A25" s="211"/>
      <c r="B25" s="70" t="str">
        <f>IFERROR(INDEX(Deco!$Y$2:$Y$99,_xlfn.AGGREGATE(15,6,ROW(Deco!$Y$2:$Y$99)-ROW(Deco!$Y$2)+1/(Deco!$W$2:$W$99="MDF"),2)),"")</f>
        <v/>
      </c>
      <c r="C25" s="135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6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7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9" t="str">
        <f>CONCATENATE(F25)</f>
        <v/>
      </c>
      <c r="I25" s="148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9" t="str">
        <f>CONCATENATE(F25)</f>
        <v/>
      </c>
      <c r="K25" s="149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8" t="str">
        <f>CONCATENATE(F25)</f>
        <v/>
      </c>
      <c r="M25" s="151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263" t="str">
        <f>IF(AND(F25&lt;&gt;"",COUNTIF($F$11:F24,F25)&gt;0),"",IFERROR(IF(AND(P25&lt;&gt;"",SUMIFS(Cant!$I$2:$I$99,Cant!$M$2:$M$99,P25,Cant!$J$2:$J$99,"43/1.0")&gt;0),SUMIFS(Cant!$I$2:$I$99,Cant!$M$2:$M$99,P25,Cant!$J$2:$J$99,"43/1.0"),""),""))</f>
        <v/>
      </c>
      <c r="R25" s="70" t="str">
        <f>CONCATENATE(F25)</f>
        <v/>
      </c>
      <c r="S25" s="263" t="str">
        <f>IF(AND(F25&lt;&gt;"",COUNTIF($F$11:F24,F25)&gt;0),"",IFERROR(IF(AND(R25&lt;&gt;"",SUMIFS(Cant!$I$2:$I$99,Cant!$M$2:$M$99,R25,Cant!$J$2:$J$99,"43/1.0")&gt;0),SUMIFS(Cant!$I$2:$I$99,Cant!$M$2:$M$99,R25,Cant!$J$2:$J$99,"43/1.0"),""),""))</f>
        <v/>
      </c>
    </row>
    <row r="26" spans="1:19">
      <c r="A26" s="211"/>
      <c r="B26" s="70" t="str" cm="1">
        <f t="array" ref="B26">IFERROR(_xlfn.SINGLE(INDEX(Deco!$Y$2:$Y$99,_xlfn.AGGREGATE(15,6,ROW(Deco!$Y$2:$Y$99)-ROW(Deco!$Y$2)+1/(Deco!$W$2:$W$99="MDF"),3))),"")</f>
        <v/>
      </c>
      <c r="C26" s="135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6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7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9" t="str">
        <f>CONCATENATE(F26)</f>
        <v/>
      </c>
      <c r="I26" s="148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9" t="str">
        <f>CONCATENATE(F26)</f>
        <v/>
      </c>
      <c r="K26" s="149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8" t="str">
        <f>CONCATENATE(F26)</f>
        <v/>
      </c>
      <c r="M26" s="151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263" t="str">
        <f>IF(AND(F26&lt;&gt;"",COUNTIF($F$11:F25,F26)&gt;0),"",IFERROR(IF(AND(P26&lt;&gt;"",SUMIFS(Cant!$I$2:$I$99,Cant!$M$2:$M$99,P26,Cant!$J$2:$J$99,"43/1.0")&gt;0),SUMIFS(Cant!$I$2:$I$99,Cant!$M$2:$M$99,P26,Cant!$J$2:$J$99,"43/1.0"),""),""))</f>
        <v/>
      </c>
      <c r="R26" s="70" t="str">
        <f>CONCATENATE(F26)</f>
        <v/>
      </c>
      <c r="S26" s="263" t="str">
        <f>IF(AND(F26&lt;&gt;"",COUNTIF($F$11:F25,F26)&gt;0),"",IFERROR(IF(AND(R26&lt;&gt;"",SUMIFS(Cant!$I$2:$I$99,Cant!$M$2:$M$99,R26,Cant!$J$2:$J$99,"43/1.0")&gt;0),SUMIFS(Cant!$I$2:$I$99,Cant!$M$2:$M$99,R26,Cant!$J$2:$J$99,"43/1.0"),""),""))</f>
        <v/>
      </c>
    </row>
    <row r="27" spans="1:19">
      <c r="A27" s="211"/>
      <c r="B27" s="70" t="str" cm="1">
        <f t="array" ref="B27">IFERROR(_xlfn.SINGLE(INDEX(Deco!$Y$2:$Y$99,_xlfn.AGGREGATE(15,6,ROW(Deco!$Y$2:$Y$99)-ROW(Deco!$Y$2)+1/(Deco!$W$2:$W$99="MDF"),4))),"")</f>
        <v/>
      </c>
      <c r="C27" s="135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6" t="str">
        <f t="shared" si="8"/>
        <v/>
      </c>
      <c r="G27" s="87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9" t="str">
        <f>CONCATENATE(F27)</f>
        <v/>
      </c>
      <c r="I27" s="148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9" t="str">
        <f>CONCATENATE(F27)</f>
        <v/>
      </c>
      <c r="K27" s="149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8" t="str">
        <f>CONCATENATE(F27)</f>
        <v/>
      </c>
      <c r="M27" s="151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263" t="str">
        <f>IF(AND(F27&lt;&gt;"",COUNTIF($F$11:F26,F27)&gt;0),"",IFERROR(IF(AND(P27&lt;&gt;"",SUMIFS(Cant!$I$2:$I$99,Cant!$M$2:$M$99,P27,Cant!$J$2:$J$99,"43/1.0")&gt;0),SUMIFS(Cant!$I$2:$I$99,Cant!$M$2:$M$99,P27,Cant!$J$2:$J$99,"43/1.0"),""),""))</f>
        <v/>
      </c>
      <c r="R27" s="70" t="str">
        <f>CONCATENATE(F27)</f>
        <v/>
      </c>
      <c r="S27" s="263" t="str">
        <f>IF(AND(F27&lt;&gt;"",COUNTIF($F$11:F26,F27)&gt;0),"",IFERROR(IF(AND(R27&lt;&gt;"",SUMIFS(Cant!$I$2:$I$99,Cant!$M$2:$M$99,R27,Cant!$J$2:$J$99,"43/1.0")&gt;0),SUMIFS(Cant!$I$2:$I$99,Cant!$M$2:$M$99,R27,Cant!$J$2:$J$99,"43/1.0"),""),""))</f>
        <v/>
      </c>
    </row>
    <row r="28" spans="1:19" ht="15.75" thickBot="1">
      <c r="A28" s="213"/>
      <c r="B28" s="70" t="str" cm="1">
        <f t="array" ref="B28">IFERROR(_xlfn.SINGLE(INDEX(Deco!$Y$2:$Y$99,_xlfn.AGGREGATE(15,6,ROW(Deco!$Y$2:$Y$99)-ROW(Deco!$Y$2)+1/(Deco!$W$2:$W$99="MDF"),5))),"")</f>
        <v/>
      </c>
      <c r="C28" s="135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261" t="str">
        <f t="shared" si="8"/>
        <v/>
      </c>
      <c r="G28" s="142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3" t="str">
        <f>CONCATENATE(F28)</f>
        <v/>
      </c>
      <c r="I28" s="143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3" t="str">
        <f>CONCATENATE(F28)</f>
        <v/>
      </c>
      <c r="K28" s="144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2" t="str">
        <f>CONCATENATE(F28)</f>
        <v/>
      </c>
      <c r="M28" s="145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IF(AND(F28&lt;&gt;"",COUNTIF($F$11:F27,F28)&gt;0),"",IFERROR(IF(AND(P28&lt;&gt;"",SUMIFS(Cant!$I$2:$I$99,Cant!$M$2:$M$99,P28,Cant!$J$2:$J$99,"43/1.0")&gt;0),SUMIFS(Cant!$I$2:$I$99,Cant!$M$2:$M$99,P28,Cant!$J$2:$J$99,"43/1.0"),""),""))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IF(AND(F28&lt;&gt;"",COUNTIF($F$11:F27,F28)&gt;0),"",IFERROR(IF(AND(R28&lt;&gt;"",SUMIFS(Cant!$I$2:$I$99,Cant!$M$2:$M$99,R28,Cant!$J$2:$J$99,"43/1.0")&gt;0),SUMIFS(Cant!$I$2:$I$99,Cant!$M$2:$M$99,R28,Cant!$J$2:$J$99,"43/1.0"),""),""))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3"/>
      <c r="G29" s="94"/>
      <c r="H29" s="104"/>
      <c r="I29" s="104"/>
      <c r="J29" s="114"/>
      <c r="K29" s="114"/>
      <c r="L29" s="123"/>
      <c r="M29" s="123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8"/>
      <c r="G30" s="89"/>
      <c r="H30" s="101"/>
      <c r="I30" s="101"/>
      <c r="J30" s="111"/>
      <c r="K30" s="111"/>
      <c r="L30" s="120"/>
      <c r="M30" s="120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5"/>
      <c r="G31" s="96"/>
      <c r="H31" s="105"/>
      <c r="I31" s="105"/>
      <c r="J31" s="115"/>
      <c r="K31" s="115"/>
      <c r="L31" s="124"/>
      <c r="M31" s="124"/>
      <c r="N31" s="59"/>
      <c r="O31" s="59"/>
      <c r="P31" s="59"/>
      <c r="Q31" s="59"/>
      <c r="R31" s="80"/>
      <c r="S31" s="80"/>
    </row>
    <row r="32" spans="1:19" ht="15.75" customHeight="1">
      <c r="A32" s="243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90" t="str">
        <f>IF(B32&lt;&gt;"",TRIM(LEFT(B32,LEN(B32)-4)),"")</f>
        <v/>
      </c>
      <c r="G32" s="91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8" t="str">
        <f>CONCATENATE(F32)</f>
        <v/>
      </c>
      <c r="I32" s="264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8" t="str">
        <f>CONCATENATE(F32)</f>
        <v/>
      </c>
      <c r="K32" s="112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7" t="str">
        <f>CONCATENATE(F32)</f>
        <v/>
      </c>
      <c r="M32" s="121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262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262" t="str">
        <f>IF(AND(F32&lt;&gt;"",COUNTIF($F$11:F31,F32)&gt;0),"",IFERROR(IF(AND(R32&lt;&gt;"",SUMIFS(Cant!$I$2:$I$99,Cant!$M$2:$M$99,R32,Cant!$J$2:$J$99,"43/1.0")&gt;0),SUMIFS(Cant!$I$2:$I$99,Cant!$M$2:$M$99,R32,Cant!$J$2:$J$99,"43/1.0"),""),""))</f>
        <v/>
      </c>
    </row>
    <row r="33" spans="1:19">
      <c r="A33" s="244"/>
      <c r="B33" s="70" t="str" cm="1">
        <f t="array" ref="B33">IFERROR(_xlfn.SINGLE(INDEX(Deco!$Y$2:$Y$99,_xlfn.AGGREGATE(15,6,ROW(Deco!$Y$2:$Y$99)-ROW(Deco!$Y$2)+1/(Deco!$W$2:$W$99="Blat"),2))),"")</f>
        <v/>
      </c>
      <c r="C33" s="135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6" t="str">
        <f>IF(B33&lt;&gt;"",TRIM(LEFT(B33,LEN(B33)-4)),"")</f>
        <v/>
      </c>
      <c r="G33" s="87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9" t="str">
        <f>CONCATENATE(F33)</f>
        <v/>
      </c>
      <c r="I33" s="265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9" t="str">
        <f>CONCATENATE(F33)</f>
        <v/>
      </c>
      <c r="K33" s="110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8" t="str">
        <f>CONCATENATE(F33)</f>
        <v/>
      </c>
      <c r="M33" s="119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263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263" t="str">
        <f>IF(AND(F33&lt;&gt;"",COUNTIF($F$11:F32,F33)&gt;0),"",IFERROR(IF(AND(R33&lt;&gt;"",SUMIFS(Cant!$I$2:$I$99,Cant!$M$2:$M$99,R33,Cant!$J$2:$J$99,"43/1.0")&gt;0),SUMIFS(Cant!$I$2:$I$99,Cant!$M$2:$M$99,R33,Cant!$J$2:$J$99,"43/1.0"),""),""))</f>
        <v/>
      </c>
    </row>
    <row r="34" spans="1:19" ht="15.75" thickBot="1">
      <c r="A34" s="245"/>
      <c r="B34" s="70" t="str" cm="1">
        <f t="array" ref="B34">IFERROR(_xlfn.SINGLE(INDEX(Deco!$Y$2:$Y$99,_xlfn.AGGREGATE(15,6,ROW(Deco!$Y$2:$Y$99)-ROW(Deco!$Y$2)+1/(Deco!$W$2:$W$99="Blat"),3))),"")</f>
        <v/>
      </c>
      <c r="C34" s="135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6" t="str">
        <f>IF(B34&lt;&gt;"",TRIM(LEFT(B34,LEN(B34)-4)),"")</f>
        <v/>
      </c>
      <c r="G34" s="87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9" t="str">
        <f>CONCATENATE(F34)</f>
        <v/>
      </c>
      <c r="I34" s="100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9" t="str">
        <f>CONCATENATE(F34)</f>
        <v/>
      </c>
      <c r="K34" s="110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8" t="str">
        <f>CONCATENATE(F34)</f>
        <v/>
      </c>
      <c r="M34" s="119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IF(AND(F34&lt;&gt;"",COUNTIF($F$11:F33,F34)&gt;0),"",IFERROR(IF(AND(R34&lt;&gt;"",SUMIFS(Cant!$I$2:$I$99,Cant!$M$2:$M$99,R34,Cant!$J$2:$J$99,"43/1.0")&gt;0),SUMIFS(Cant!$I$2:$I$99,Cant!$M$2:$M$99,R34,Cant!$J$2:$J$99,"43/1.0"),""),""))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9"/>
      <c r="G35" s="89"/>
      <c r="H35" s="101"/>
      <c r="I35" s="101"/>
      <c r="J35" s="111"/>
      <c r="K35" s="111"/>
      <c r="L35" s="120"/>
      <c r="M35" s="120"/>
      <c r="N35" s="49"/>
      <c r="O35" s="49"/>
      <c r="P35" s="49"/>
      <c r="Q35" s="49"/>
      <c r="R35" s="58"/>
      <c r="S35" s="58"/>
    </row>
    <row r="36" spans="1:19">
      <c r="A36" s="243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90" t="str">
        <f>IF(B36&lt;&gt;"",TRIM(LEFT(B36,LEN(B36)-3)),"")</f>
        <v/>
      </c>
      <c r="G36" s="91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8" t="str">
        <f>CONCATENATE(F36)</f>
        <v/>
      </c>
      <c r="I36" s="264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8" t="str">
        <f>CONCATENATE(F36)</f>
        <v/>
      </c>
      <c r="K36" s="112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7" t="str">
        <f>CONCATENATE(F36)</f>
        <v/>
      </c>
      <c r="M36" s="121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262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262" t="str">
        <f>IF(AND(F36&lt;&gt;"",COUNTIF($F$11:F35,F36)&gt;0),"",IFERROR(IF(AND(R36&lt;&gt;"",SUMIFS(Cant!$I$2:$I$99,Cant!$M$2:$M$99,R36,Cant!$J$2:$J$99,"43/1.0")&gt;0),SUMIFS(Cant!$I$2:$I$99,Cant!$M$2:$M$99,R36,Cant!$J$2:$J$99,"43/1.0"),""),""))</f>
        <v/>
      </c>
    </row>
    <row r="37" spans="1:19">
      <c r="A37" s="244"/>
      <c r="B37" s="70" t="str" cm="1">
        <f t="array" ref="B37">IFERROR(_xlfn.SINGLE(INDEX(Deco!$Y$2:$Y$99,_xlfn.AGGREGATE(15,6,ROW(Deco!$Y$2:$Y$99)-ROW(Deco!$Y$2)+1/(Deco!$W$2:$W$99="PS"),2))),"")</f>
        <v/>
      </c>
      <c r="C37" s="135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6" t="str">
        <f>IF(B37&lt;&gt;"",TRIM(LEFT(B37,LEN(B37)-3)),"")</f>
        <v/>
      </c>
      <c r="G37" s="87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6" t="str">
        <f>CONCATENATE(F37)</f>
        <v/>
      </c>
      <c r="I37" s="265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9" t="str">
        <f>CONCATENATE(F37)</f>
        <v/>
      </c>
      <c r="K37" s="110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8" t="str">
        <f>CONCATENATE(F37)</f>
        <v/>
      </c>
      <c r="M37" s="119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263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263" t="str">
        <f>IF(AND(F37&lt;&gt;"",COUNTIF($F$11:F36,F37)&gt;0),"",IFERROR(IF(AND(R37&lt;&gt;"",SUMIFS(Cant!$I$2:$I$99,Cant!$M$2:$M$99,R37,Cant!$J$2:$J$99,"43/1.0")&gt;0),SUMIFS(Cant!$I$2:$I$99,Cant!$M$2:$M$99,R37,Cant!$J$2:$J$99,"43/1.0"),""),""))</f>
        <v/>
      </c>
    </row>
    <row r="38" spans="1:19" ht="15.75" thickBot="1">
      <c r="A38" s="245"/>
      <c r="B38" s="71" t="str" cm="1">
        <f t="array" ref="B38">IFERROR(_xlfn.SINGLE(INDEX(Deco!$Y$2:$Y$99,_xlfn.AGGREGATE(15,6,ROW(Deco!$Y$2:$Y$99)-ROW(Deco!$Y$2)+1/(Deco!$W$2:$W$99="PS"),3))),"")</f>
        <v/>
      </c>
      <c r="C38" s="135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2" t="str">
        <f>IF(B38&lt;&gt;"",TRIM(LEFT(B38,LEN(B38)-3)),"")</f>
        <v/>
      </c>
      <c r="G38" s="142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3" t="str">
        <f>CONCATENATE(F38)</f>
        <v/>
      </c>
      <c r="I38" s="100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3" t="str">
        <f>CONCATENATE(F38)</f>
        <v/>
      </c>
      <c r="K38" s="144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2" t="str">
        <f>CONCATENATE(F38)</f>
        <v/>
      </c>
      <c r="M38" s="145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263" t="str">
        <f>IF(AND(F38&lt;&gt;"",COUNTIF($F$11:F37,F38)&gt;0),"",IFERROR(IF(AND(R38&lt;&gt;"",SUMIFS(Cant!$I$2:$I$99,Cant!$M$2:$M$99,R38,Cant!$J$2:$J$99,"43/1.0")&gt;0),SUMIFS(Cant!$I$2:$I$99,Cant!$M$2:$M$99,R38,Cant!$J$2:$J$99,"43/1.0"),""),""))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10" t="s">
        <v>51</v>
      </c>
      <c r="B40" s="32" t="s">
        <v>68</v>
      </c>
      <c r="C40" s="32" t="s">
        <v>72</v>
      </c>
      <c r="D40" s="18" t="s">
        <v>52</v>
      </c>
      <c r="F40" s="203" t="s">
        <v>73</v>
      </c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5"/>
    </row>
    <row r="41" spans="1:19" ht="15.75" thickBot="1">
      <c r="A41" s="211"/>
      <c r="B41" s="35" t="s">
        <v>83</v>
      </c>
      <c r="C41" s="29">
        <f>SUMIF(Taiere!I2:I99, "PAL",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11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83"/>
    </row>
    <row r="43" spans="1:19" ht="15.75" thickBot="1">
      <c r="A43" s="211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190" t="str">
        <f>IF(COUNTIF(Deco!AA2:AA34,"Vezi EK")&gt;0,"Atentie! Verifica EK dublaje","Nr. Piese Dublaje")</f>
        <v>Nr. Piese Dublaje</v>
      </c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2"/>
    </row>
    <row r="44" spans="1:19">
      <c r="A44" s="211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11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 cm="1">
        <f t="array" ref="F45">IFERROR(_xlfn.SINGLE(INDEX(Deco!$Z$2:$Z$100,_xlfn.AGGREGATE(15,6,ROW(Deco!$Z$2:$Z$100)-ROW(Deco!$Z$2)+1/(Deco!$W$2:$W$100="DB"),1))),"")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IFERROR(_xlfn.SINGLE(INDEX(Deco!$Z$2:$Z$100,_xlfn.AGGREGATE(15,6,ROW(Deco!$Z$2:$Z$100)-ROW(Deco!$Z$2)+1/(Deco!$W$2:$W$100="DB"),2))),"")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IFERROR(_xlfn.SINGLE(INDEX(Deco!$Z$2:$Z$100,_xlfn.AGGREGATE(15,6,ROW(Deco!$Z$2:$Z$100)-ROW(Deco!$Z$2)+1/(Deco!$W$2:$W$100="DB"),3))),"")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IFERROR(_xlfn.SINGLE(INDEX(Deco!$Z$2:$Z$100,_xlfn.AGGREGATE(15,6,ROW(Deco!$Z$2:$Z$100)-ROW(Deco!$Z$2)+1/(Deco!$W$2:$W$100="DB"),4))),"")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IFERROR(_xlfn.SINGLE(INDEX(Deco!$Z$2:$Z$100,_xlfn.AGGREGATE(15,6,ROW(Deco!$Z$2:$Z$100)-ROW(Deco!$Z$2)+1/(Deco!$W$2:$W$100="DB"),5))),"")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IFERROR(_xlfn.SINGLE(INDEX(Deco!$Z$2:$Z$100,_xlfn.AGGREGATE(15,6,ROW(Deco!$Z$2:$Z$100)-ROW(Deco!$Z$2)+1/(Deco!$W$2:$W$100="DB"),6))),"")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IFERROR(_xlfn.SINGLE(INDEX(Deco!$Z$2:$Z$100,_xlfn.AGGREGATE(15,6,ROW(Deco!$Z$2:$Z$100)-ROW(Deco!$Z$2)+1/(Deco!$W$2:$W$100="DB"),7))),"")</f>
        <v/>
      </c>
      <c r="S45" s="44" t="str">
        <f>IFERROR(IF(R45&lt;&gt;"",INDEX(Deco!$V$2:$V$100,MATCH(R45,Deco!$Z$2:$Z$100,0)),""),"")</f>
        <v/>
      </c>
    </row>
    <row r="46" spans="1:19" ht="15.75" thickBot="1">
      <c r="A46" s="211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11"/>
      <c r="B47" s="33" t="s">
        <v>86</v>
      </c>
      <c r="C47" s="30">
        <f>SUMIF(Taiere!I2:I99, "MDF", Taiere!C2:C99)</f>
        <v>0</v>
      </c>
      <c r="D47" s="74" t="s">
        <v>54</v>
      </c>
      <c r="F47" s="171" t="s">
        <v>34</v>
      </c>
      <c r="G47" s="250" t="str">
        <f>IF(I6="PLAN M",SUM(C11:C28), "N/A")</f>
        <v>N/A</v>
      </c>
      <c r="J47" s="171" t="s">
        <v>88</v>
      </c>
      <c r="K47" s="239">
        <v>1</v>
      </c>
      <c r="N47" s="171" t="s">
        <v>110</v>
      </c>
      <c r="O47" s="173"/>
      <c r="P47" s="174"/>
      <c r="R47" s="171" t="s">
        <v>116</v>
      </c>
      <c r="S47" s="171" t="e">
        <f>IF(#REF!=2,"O","X")</f>
        <v>#REF!</v>
      </c>
    </row>
    <row r="48" spans="1:19" ht="15.75" thickBot="1">
      <c r="A48" s="213"/>
      <c r="B48" s="36" t="s">
        <v>87</v>
      </c>
      <c r="C48" s="31">
        <f>SUM(F45:S45)</f>
        <v>0</v>
      </c>
      <c r="D48" s="72" t="s">
        <v>55</v>
      </c>
      <c r="F48" s="219"/>
      <c r="G48" s="251"/>
      <c r="J48" s="219"/>
      <c r="K48" s="240"/>
      <c r="N48" s="172"/>
      <c r="O48" s="175"/>
      <c r="P48" s="176"/>
      <c r="R48" s="172"/>
      <c r="S48" s="219"/>
    </row>
    <row r="49" spans="1:19" ht="2.1" hidden="1" customHeight="1">
      <c r="A49" s="40"/>
      <c r="B49" s="41"/>
      <c r="C49" s="1"/>
      <c r="D49" s="2"/>
    </row>
    <row r="50" spans="1:19">
      <c r="A50" s="223" t="s">
        <v>66</v>
      </c>
      <c r="B50" s="230"/>
      <c r="C50" s="231"/>
      <c r="D50" s="231"/>
      <c r="E50" s="231"/>
      <c r="F50" s="231"/>
      <c r="G50" s="231"/>
      <c r="H50" s="231"/>
      <c r="I50" s="231"/>
      <c r="J50" s="231"/>
      <c r="K50" s="231"/>
      <c r="L50" s="231"/>
      <c r="M50" s="231"/>
      <c r="N50" s="231"/>
      <c r="O50" s="231"/>
      <c r="P50" s="231"/>
      <c r="Q50" s="231"/>
      <c r="R50" s="231"/>
      <c r="S50" s="232"/>
    </row>
    <row r="51" spans="1:19">
      <c r="A51" s="211"/>
      <c r="B51" s="233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5"/>
    </row>
    <row r="52" spans="1:19">
      <c r="A52" s="211"/>
      <c r="B52" s="233"/>
      <c r="C52" s="234"/>
      <c r="D52" s="234"/>
      <c r="E52" s="234"/>
      <c r="F52" s="234"/>
      <c r="G52" s="234"/>
      <c r="H52" s="234"/>
      <c r="I52" s="234"/>
      <c r="J52" s="234"/>
      <c r="K52" s="234"/>
      <c r="L52" s="234"/>
      <c r="M52" s="234"/>
      <c r="N52" s="234"/>
      <c r="O52" s="234"/>
      <c r="P52" s="234"/>
      <c r="Q52" s="234"/>
      <c r="R52" s="234"/>
      <c r="S52" s="235"/>
    </row>
    <row r="53" spans="1:19">
      <c r="A53" s="211"/>
      <c r="B53" s="233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5"/>
    </row>
    <row r="54" spans="1:19">
      <c r="A54" s="211"/>
      <c r="B54" s="233"/>
      <c r="C54" s="234"/>
      <c r="D54" s="234"/>
      <c r="E54" s="234"/>
      <c r="F54" s="234"/>
      <c r="G54" s="234"/>
      <c r="H54" s="234"/>
      <c r="I54" s="234"/>
      <c r="J54" s="234"/>
      <c r="K54" s="234"/>
      <c r="L54" s="234"/>
      <c r="M54" s="234"/>
      <c r="N54" s="234"/>
      <c r="O54" s="234"/>
      <c r="P54" s="234"/>
      <c r="Q54" s="234"/>
      <c r="R54" s="234"/>
      <c r="S54" s="235"/>
    </row>
    <row r="55" spans="1:19">
      <c r="A55" s="211"/>
      <c r="B55" s="233"/>
      <c r="C55" s="234"/>
      <c r="D55" s="234"/>
      <c r="E55" s="234"/>
      <c r="F55" s="234"/>
      <c r="G55" s="234"/>
      <c r="H55" s="234"/>
      <c r="I55" s="234"/>
      <c r="J55" s="234"/>
      <c r="K55" s="234"/>
      <c r="L55" s="234"/>
      <c r="M55" s="234"/>
      <c r="N55" s="234"/>
      <c r="O55" s="234"/>
      <c r="P55" s="234"/>
      <c r="Q55" s="234"/>
      <c r="R55" s="234"/>
      <c r="S55" s="235"/>
    </row>
    <row r="56" spans="1:19">
      <c r="A56" s="211"/>
      <c r="B56" s="233"/>
      <c r="C56" s="234"/>
      <c r="D56" s="234"/>
      <c r="E56" s="234"/>
      <c r="F56" s="234"/>
      <c r="G56" s="234"/>
      <c r="H56" s="234"/>
      <c r="I56" s="234"/>
      <c r="J56" s="234"/>
      <c r="K56" s="234"/>
      <c r="L56" s="234"/>
      <c r="M56" s="234"/>
      <c r="N56" s="234"/>
      <c r="O56" s="234"/>
      <c r="P56" s="234"/>
      <c r="Q56" s="234"/>
      <c r="R56" s="234"/>
      <c r="S56" s="235"/>
    </row>
    <row r="57" spans="1:19" ht="15.75" thickBot="1">
      <c r="A57" s="213"/>
      <c r="B57" s="236"/>
      <c r="C57" s="237"/>
      <c r="D57" s="237"/>
      <c r="E57" s="237"/>
      <c r="F57" s="237"/>
      <c r="G57" s="237"/>
      <c r="H57" s="237"/>
      <c r="I57" s="237"/>
      <c r="J57" s="237"/>
      <c r="K57" s="237"/>
      <c r="L57" s="237"/>
      <c r="M57" s="237"/>
      <c r="N57" s="237"/>
      <c r="O57" s="237"/>
      <c r="P57" s="237"/>
      <c r="Q57" s="237"/>
      <c r="R57" s="237"/>
      <c r="S57" s="238"/>
    </row>
  </sheetData>
  <mergeCells count="41"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N47:N48"/>
    <mergeCell ref="O47:P48"/>
    <mergeCell ref="L9:M9"/>
    <mergeCell ref="B5:D5"/>
    <mergeCell ref="H9:I9"/>
    <mergeCell ref="B6:D6"/>
    <mergeCell ref="I6:K6"/>
    <mergeCell ref="F43:S43"/>
    <mergeCell ref="I5:K5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" workbookViewId="0">
      <selection activeCell="H21" sqref="H21"/>
    </sheetView>
  </sheetViews>
  <sheetFormatPr defaultRowHeight="15"/>
  <cols>
    <col min="1" max="1" width="21" bestFit="1" customWidth="1"/>
    <col min="4" max="4" width="15.42578125" customWidth="1"/>
    <col min="5" max="5" width="9.140625" style="128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8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8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8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>
        <f>Fisa!B14</f>
        <v>0</v>
      </c>
      <c r="B5" t="str">
        <f>Fisa!C14</f>
        <v/>
      </c>
      <c r="C5" t="str">
        <f>_xlfn.CONCAT(Fisa!D14)</f>
        <v>mp</v>
      </c>
      <c r="D5" t="str">
        <f t="shared" si="0"/>
        <v>0 mp</v>
      </c>
      <c r="E5" s="128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>
        <f>Fisa!B15</f>
        <v>0</v>
      </c>
      <c r="B6" t="str">
        <f>Fisa!C15</f>
        <v/>
      </c>
      <c r="C6" t="str">
        <f>_xlfn.CONCAT(Fisa!D15)</f>
        <v>mp</v>
      </c>
      <c r="D6" t="str">
        <f t="shared" si="0"/>
        <v>0 mp</v>
      </c>
      <c r="E6" s="128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8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8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8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8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8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8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8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8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8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8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8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8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8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8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8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8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8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8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58" t="s">
        <v>14</v>
      </c>
      <c r="B1" s="258"/>
      <c r="C1" s="258"/>
      <c r="D1" s="258"/>
      <c r="E1" s="258"/>
      <c r="F1" s="258"/>
      <c r="G1" s="258"/>
      <c r="H1" s="258"/>
      <c r="I1" s="258"/>
      <c r="J1" s="258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59">
        <f>Fisa!B3:D3</f>
        <v>0</v>
      </c>
      <c r="C3" s="259"/>
      <c r="D3" s="259"/>
      <c r="E3" s="259"/>
      <c r="F3" s="259"/>
      <c r="G3" s="259"/>
      <c r="H3" s="5"/>
      <c r="I3" s="5"/>
      <c r="J3" s="5"/>
      <c r="K3" s="5"/>
      <c r="L3" s="5"/>
    </row>
    <row r="4" spans="1:12" customFormat="1">
      <c r="A4" s="6" t="s">
        <v>7</v>
      </c>
      <c r="B4" s="260">
        <f>Fisa!B6</f>
        <v>0</v>
      </c>
      <c r="C4" s="260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>
        <f>Fisa!B14</f>
        <v>0</v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>
        <f>Fisa!B15</f>
        <v>0</v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5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6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P11" sqref="P11"/>
    </sheetView>
  </sheetViews>
  <sheetFormatPr defaultRowHeight="15"/>
  <cols>
    <col min="1" max="1" width="22.42578125" bestFit="1" customWidth="1"/>
    <col min="18" max="18" width="9.140625" style="167"/>
    <col min="20" max="20" width="9.140625" customWidth="1"/>
    <col min="21" max="21" width="4.140625" customWidth="1"/>
    <col min="22" max="22" width="9.140625" style="170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70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8"/>
      <c r="S2" s="165"/>
      <c r="T2" s="146"/>
      <c r="U2" s="146"/>
      <c r="V2" s="170">
        <f>IFERROR(IF(W2="DB",Q2/13.5, ROUND(Q2/P2,2)),"")</f>
        <v>0</v>
      </c>
      <c r="W2" t="str">
        <f>IF(AND(D2=2800, E2=2070, OR(B2=18, B2=18.6, B2=8, B2=10, B2=16)), "PAL",
  IF(OR(AND(D2=2800, E2=2070, OR(B2=19, B2=19.3)),
        AND(D2=2800, E2=1220, B2=18),
        AND(D2=3050, E2=1300, B2=19.3)), "MDF",
    IF(AND(D2=4100, OR(E2=600, E2=650, E2=920), OR(B2=38, B2=20)), "BLAT",
      IF(AND(D2=4100, E2=640, OR(B2=9.2, B2=8)), "PS",
        IF(B2=2.7, "HDF", "DB")))))</f>
        <v>DB</v>
      </c>
      <c r="X2" t="str">
        <f>IFERROR(IF(ISNUMBER(--LEFT(TRIM(MID(A2,FIND("-",A2)+1,50)),1)),
"AGT "&amp;TRIM(MID(A2,FIND("-",A2)+1,50)),
TRIM(MID(A2,FIND("-",A2)+1,50)))
&amp;IF(OR(E2=600,E2=650,E2=920)," /"&amp;E2,"")
&amp;IF(E2=640," "&amp;"PS",""),"")&amp;IF(AND(OR(B2=8,B2=10,B2=16),D2=2800,E2=2070),"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 xml:space="preserve"> </v>
      </c>
      <c r="Z2" t="str">
        <f>IF(W2="DB",IF(OR(ISNUMBER(FIND(" ST",X2)),ISNUMBER(FIND(" SM",X2)),ISNUMBER(FIND(" PM",X2)),ISNUMBER(FIND("TM/ST7",X2)),ISNUMBER(FIND(" PG",X2)),ISNUMBER(FIND(" PA",X2))),SUBSTITUTE(X2," ","",1),X2)," ")</f>
        <v/>
      </c>
      <c r="AA2" t="str">
        <f>IF(W2="DB", IF(V2=INT(V2),"OK", "Vezi EK"),"")</f>
        <v>OK</v>
      </c>
    </row>
    <row r="3" spans="1:27">
      <c r="R3" s="168"/>
      <c r="S3" s="165"/>
      <c r="T3" s="132"/>
      <c r="U3" s="146"/>
      <c r="V3" s="170">
        <f t="shared" ref="V3:V34" si="1">IFERROR(IF(W3="DB",Q3/13.5, ROUND(Q3/P3,2)),"")</f>
        <v>0</v>
      </c>
      <c r="W3" t="str">
        <f t="shared" ref="W3:W34" si="2">IF(AND(D3=2800, E3=2070, OR(B3=18, B3=18.6, B3=8, B3=10, B3=16)), "PAL",
  IF(OR(AND(D3=2800, E3=2070, OR(B3=19, B3=19.3)),
        AND(D3=2800, E3=1220, B3=18),
        AND(D3=3050, E3=1300, B3=19.3)), "MDF",
    IF(AND(D3=4100, OR(E3=600, E3=650, E3=920), OR(B3=38, B3=20)), "BLAT",
      IF(AND(D3=4100, E3=640, OR(B3=9.2, B3=8)), "PS",
        IF(B3=2.7, "HDF", "DB")))))</f>
        <v>DB</v>
      </c>
      <c r="X3" t="str">
        <f t="shared" ref="X3:X34" si="3">IFERROR(IF(ISNUMBER(--LEFT(TRIM(MID(A3,FIND("-",A3)+1,50)),1)),
"AGT "&amp;TRIM(MID(A3,FIND("-",A3)+1,50)),
TRIM(MID(A3,FIND("-",A3)+1,50)))
&amp;IF(OR(E3=600,E3=650,E3=920)," /"&amp;E3,"")
&amp;IF(E3=640," "&amp;"PS",""),"")&amp;IF(AND(OR(B3=8,B3=10,B3=16),D3=2800,E3=2070)," "&amp;B3&amp;"mm","")</f>
        <v/>
      </c>
      <c r="Y3" t="str">
        <f t="shared" si="0"/>
        <v xml:space="preserve"> </v>
      </c>
      <c r="Z3" t="str">
        <f t="shared" ref="Z3:Z34" si="4">IF(W3="DB",IF(OR(ISNUMBER(FIND(" ST",X3)),ISNUMBER(FIND(" SM",X3)),ISNUMBER(FIND(" PM",X3)),ISNUMBER(FIND("TM/ST7",X3)),ISNUMBER(FIND(" PG",X3)),ISNUMBER(FIND(" PA",X3))),SUBSTITUTE(X3," ","",1),X3)," ")</f>
        <v/>
      </c>
      <c r="AA3" t="str">
        <f t="shared" ref="AA3:AA34" si="5">IF(W3="DB", IF(V3=INT(V3),"OK", "Vezi EK"),"")</f>
        <v>OK</v>
      </c>
    </row>
    <row r="4" spans="1:27">
      <c r="R4" s="168"/>
      <c r="S4" s="165"/>
      <c r="T4" s="146"/>
      <c r="U4" s="132"/>
      <c r="V4" s="170">
        <f t="shared" si="1"/>
        <v>0</v>
      </c>
      <c r="W4" t="str">
        <f t="shared" si="2"/>
        <v>DB</v>
      </c>
      <c r="X4" t="str">
        <f t="shared" si="3"/>
        <v/>
      </c>
      <c r="Y4" t="str">
        <f t="shared" si="0"/>
        <v xml:space="preserve"> </v>
      </c>
      <c r="Z4" t="str">
        <f t="shared" si="4"/>
        <v/>
      </c>
      <c r="AA4" t="str">
        <f t="shared" si="5"/>
        <v>OK</v>
      </c>
    </row>
    <row r="5" spans="1:27">
      <c r="R5" s="168"/>
      <c r="S5" s="165"/>
      <c r="T5" s="146"/>
      <c r="U5" s="132"/>
      <c r="V5" s="170">
        <f t="shared" si="1"/>
        <v>0</v>
      </c>
      <c r="W5" t="str">
        <f t="shared" si="2"/>
        <v>DB</v>
      </c>
      <c r="X5" t="str">
        <f t="shared" si="3"/>
        <v/>
      </c>
      <c r="Y5" t="str">
        <f t="shared" si="0"/>
        <v xml:space="preserve"> </v>
      </c>
      <c r="Z5" t="str">
        <f t="shared" si="4"/>
        <v/>
      </c>
      <c r="AA5" t="str">
        <f t="shared" si="5"/>
        <v>OK</v>
      </c>
    </row>
    <row r="6" spans="1:27">
      <c r="R6" s="168"/>
      <c r="S6" s="165"/>
      <c r="T6" s="146"/>
      <c r="U6" s="132"/>
      <c r="V6" s="170">
        <f t="shared" si="1"/>
        <v>0</v>
      </c>
      <c r="W6" t="str">
        <f t="shared" si="2"/>
        <v>DB</v>
      </c>
      <c r="X6" t="str">
        <f t="shared" si="3"/>
        <v/>
      </c>
      <c r="Y6" t="str">
        <f t="shared" si="0"/>
        <v xml:space="preserve"> </v>
      </c>
      <c r="Z6" t="str">
        <f t="shared" si="4"/>
        <v/>
      </c>
      <c r="AA6" t="str">
        <f t="shared" si="5"/>
        <v>OK</v>
      </c>
    </row>
    <row r="7" spans="1:27">
      <c r="R7" s="168"/>
      <c r="S7" s="165"/>
      <c r="T7" s="132"/>
      <c r="U7" s="132"/>
      <c r="V7" s="170">
        <f t="shared" si="1"/>
        <v>0</v>
      </c>
      <c r="W7" t="str">
        <f t="shared" si="2"/>
        <v>DB</v>
      </c>
      <c r="X7" t="str">
        <f t="shared" si="3"/>
        <v/>
      </c>
      <c r="Y7" t="str">
        <f t="shared" si="0"/>
        <v xml:space="preserve"> </v>
      </c>
      <c r="Z7" t="str">
        <f t="shared" si="4"/>
        <v/>
      </c>
      <c r="AA7" t="str">
        <f t="shared" si="5"/>
        <v>OK</v>
      </c>
    </row>
    <row r="8" spans="1:27">
      <c r="R8" s="168"/>
      <c r="S8" s="165"/>
      <c r="T8" s="146"/>
      <c r="U8" s="132"/>
      <c r="V8" s="170">
        <f t="shared" si="1"/>
        <v>0</v>
      </c>
      <c r="W8" t="str">
        <f t="shared" si="2"/>
        <v>DB</v>
      </c>
      <c r="X8" t="str">
        <f t="shared" si="3"/>
        <v/>
      </c>
      <c r="Y8" t="str">
        <f t="shared" si="0"/>
        <v xml:space="preserve"> </v>
      </c>
      <c r="Z8" t="str">
        <f t="shared" si="4"/>
        <v/>
      </c>
      <c r="AA8" t="str">
        <f t="shared" si="5"/>
        <v>OK</v>
      </c>
    </row>
    <row r="9" spans="1:27">
      <c r="R9" s="168"/>
      <c r="S9" s="165"/>
      <c r="T9" s="146"/>
      <c r="U9" s="130"/>
      <c r="V9" s="170">
        <f t="shared" si="1"/>
        <v>0</v>
      </c>
      <c r="W9" t="str">
        <f t="shared" si="2"/>
        <v>DB</v>
      </c>
      <c r="X9" t="str">
        <f t="shared" si="3"/>
        <v/>
      </c>
      <c r="Y9" t="str">
        <f t="shared" si="0"/>
        <v xml:space="preserve"> </v>
      </c>
      <c r="Z9" t="str">
        <f t="shared" si="4"/>
        <v/>
      </c>
      <c r="AA9" t="str">
        <f t="shared" si="5"/>
        <v>OK</v>
      </c>
    </row>
    <row r="10" spans="1:27">
      <c r="R10" s="168"/>
      <c r="S10" s="165"/>
      <c r="T10" s="146"/>
      <c r="U10" s="146"/>
      <c r="V10" s="170">
        <f t="shared" si="1"/>
        <v>0</v>
      </c>
      <c r="W10" t="str">
        <f t="shared" si="2"/>
        <v>DB</v>
      </c>
      <c r="X10" t="str">
        <f t="shared" si="3"/>
        <v/>
      </c>
      <c r="Y10" t="str">
        <f t="shared" si="0"/>
        <v xml:space="preserve"> </v>
      </c>
      <c r="Z10" t="str">
        <f t="shared" si="4"/>
        <v/>
      </c>
      <c r="AA10" t="str">
        <f t="shared" si="5"/>
        <v>OK</v>
      </c>
    </row>
    <row r="11" spans="1:27">
      <c r="R11" s="168"/>
      <c r="S11" s="165"/>
      <c r="T11" s="146"/>
      <c r="U11" s="146"/>
      <c r="V11" s="170">
        <f t="shared" si="1"/>
        <v>0</v>
      </c>
      <c r="W11" t="str">
        <f t="shared" si="2"/>
        <v>DB</v>
      </c>
      <c r="X11" t="str">
        <f t="shared" si="3"/>
        <v/>
      </c>
      <c r="Y11" t="str">
        <f t="shared" si="0"/>
        <v xml:space="preserve"> </v>
      </c>
      <c r="Z11" t="str">
        <f t="shared" si="4"/>
        <v/>
      </c>
      <c r="AA11" t="str">
        <f t="shared" si="5"/>
        <v>OK</v>
      </c>
    </row>
    <row r="12" spans="1:27">
      <c r="R12" s="168"/>
      <c r="S12" s="133"/>
      <c r="T12" s="133"/>
      <c r="U12" s="133"/>
      <c r="V12" s="170">
        <f t="shared" si="1"/>
        <v>0</v>
      </c>
      <c r="W12" t="str">
        <f t="shared" si="2"/>
        <v>DB</v>
      </c>
      <c r="X12" t="str">
        <f t="shared" si="3"/>
        <v/>
      </c>
      <c r="Y12" t="str">
        <f t="shared" si="0"/>
        <v xml:space="preserve"> </v>
      </c>
      <c r="Z12" t="str">
        <f t="shared" si="4"/>
        <v/>
      </c>
      <c r="AA12" t="str">
        <f t="shared" si="5"/>
        <v>OK</v>
      </c>
    </row>
    <row r="13" spans="1:27">
      <c r="R13" s="168"/>
      <c r="S13" s="161"/>
      <c r="T13" s="160"/>
      <c r="U13" s="166"/>
      <c r="V13" s="170">
        <f t="shared" si="1"/>
        <v>0</v>
      </c>
      <c r="W13" t="str">
        <f t="shared" si="2"/>
        <v>DB</v>
      </c>
      <c r="X13" t="str">
        <f t="shared" si="3"/>
        <v/>
      </c>
      <c r="Y13" t="str">
        <f t="shared" si="0"/>
        <v xml:space="preserve"> </v>
      </c>
      <c r="Z13" t="str">
        <f t="shared" si="4"/>
        <v/>
      </c>
      <c r="AA13" t="str">
        <f t="shared" si="5"/>
        <v>OK</v>
      </c>
    </row>
    <row r="14" spans="1:27">
      <c r="R14" s="168"/>
      <c r="S14" s="160"/>
      <c r="T14" s="161"/>
      <c r="U14" s="166"/>
      <c r="V14" s="170">
        <f t="shared" si="1"/>
        <v>0</v>
      </c>
      <c r="W14" t="str">
        <f t="shared" si="2"/>
        <v>DB</v>
      </c>
      <c r="X14" t="str">
        <f t="shared" si="3"/>
        <v/>
      </c>
      <c r="Y14" t="str">
        <f t="shared" si="0"/>
        <v xml:space="preserve"> </v>
      </c>
      <c r="Z14" t="str">
        <f t="shared" si="4"/>
        <v/>
      </c>
      <c r="AA14" t="str">
        <f t="shared" si="5"/>
        <v>OK</v>
      </c>
    </row>
    <row r="15" spans="1:27">
      <c r="R15" s="168"/>
      <c r="S15" s="161"/>
      <c r="T15" s="161"/>
      <c r="U15" s="133"/>
      <c r="V15" s="170">
        <f t="shared" si="1"/>
        <v>0</v>
      </c>
      <c r="W15" t="str">
        <f t="shared" si="2"/>
        <v>DB</v>
      </c>
      <c r="X15" t="str">
        <f t="shared" si="3"/>
        <v/>
      </c>
      <c r="Y15" t="str">
        <f t="shared" si="0"/>
        <v xml:space="preserve"> </v>
      </c>
      <c r="Z15" t="str">
        <f t="shared" si="4"/>
        <v/>
      </c>
      <c r="AA15" t="str">
        <f t="shared" si="5"/>
        <v>OK</v>
      </c>
    </row>
    <row r="16" spans="1:27">
      <c r="R16" s="169"/>
      <c r="S16" s="161"/>
      <c r="T16" s="161"/>
      <c r="U16" s="132"/>
      <c r="V16" s="170">
        <f t="shared" si="1"/>
        <v>0</v>
      </c>
      <c r="W16" t="str">
        <f t="shared" si="2"/>
        <v>DB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 xml:space="preserve"> </v>
      </c>
      <c r="Z16" t="str">
        <f t="shared" si="4"/>
        <v/>
      </c>
      <c r="AA16" t="str">
        <f t="shared" si="5"/>
        <v>OK</v>
      </c>
    </row>
    <row r="17" spans="1:27">
      <c r="R17" s="169"/>
      <c r="S17" s="161"/>
      <c r="T17" s="161"/>
      <c r="U17" s="132"/>
      <c r="V17" s="170">
        <f t="shared" si="1"/>
        <v>0</v>
      </c>
      <c r="W17" t="str">
        <f t="shared" si="2"/>
        <v>DB</v>
      </c>
      <c r="X17" t="str">
        <f t="shared" si="3"/>
        <v/>
      </c>
      <c r="Y17" t="str">
        <f t="shared" si="6"/>
        <v xml:space="preserve"> </v>
      </c>
      <c r="Z17" t="str">
        <f t="shared" si="4"/>
        <v/>
      </c>
      <c r="AA17" t="str">
        <f t="shared" si="5"/>
        <v>OK</v>
      </c>
    </row>
    <row r="18" spans="1:27">
      <c r="A18" s="155"/>
      <c r="B18" s="156"/>
      <c r="C18" s="157"/>
      <c r="D18" s="158"/>
      <c r="E18" s="158"/>
      <c r="F18" s="159"/>
      <c r="G18" s="156"/>
      <c r="H18" s="160"/>
      <c r="I18" s="156"/>
      <c r="J18" s="161"/>
      <c r="K18" s="164"/>
      <c r="L18" s="164"/>
      <c r="M18" s="160"/>
      <c r="N18" s="164"/>
      <c r="O18" s="164"/>
      <c r="P18" s="160"/>
      <c r="Q18" s="164"/>
      <c r="R18" s="169"/>
      <c r="S18" s="161"/>
      <c r="T18" s="161"/>
      <c r="U18" s="132"/>
      <c r="V18" s="170">
        <f t="shared" si="1"/>
        <v>0</v>
      </c>
      <c r="W18" t="str">
        <f t="shared" si="2"/>
        <v>DB</v>
      </c>
      <c r="X18" t="str">
        <f t="shared" si="3"/>
        <v/>
      </c>
      <c r="Y18" t="str">
        <f t="shared" si="6"/>
        <v xml:space="preserve"> </v>
      </c>
      <c r="Z18" t="str">
        <f t="shared" si="4"/>
        <v/>
      </c>
      <c r="AA18" t="str">
        <f t="shared" si="5"/>
        <v>OK</v>
      </c>
    </row>
    <row r="19" spans="1:27">
      <c r="A19" s="155"/>
      <c r="B19" s="156"/>
      <c r="C19" s="157"/>
      <c r="D19" s="158"/>
      <c r="E19" s="158"/>
      <c r="F19" s="159"/>
      <c r="G19" s="156"/>
      <c r="H19" s="160"/>
      <c r="I19" s="156"/>
      <c r="J19" s="160"/>
      <c r="K19" s="164"/>
      <c r="L19" s="164"/>
      <c r="M19" s="162"/>
      <c r="N19" s="164"/>
      <c r="O19" s="164"/>
      <c r="P19" s="161"/>
      <c r="Q19" s="164"/>
      <c r="R19" s="169"/>
      <c r="S19" s="161"/>
      <c r="T19" s="161"/>
      <c r="V19" s="170">
        <f t="shared" si="1"/>
        <v>0</v>
      </c>
      <c r="W19" t="str">
        <f t="shared" si="2"/>
        <v>DB</v>
      </c>
      <c r="X19" t="str">
        <f t="shared" si="3"/>
        <v/>
      </c>
      <c r="Y19" t="str">
        <f t="shared" si="6"/>
        <v xml:space="preserve"> </v>
      </c>
      <c r="Z19" t="str">
        <f t="shared" si="4"/>
        <v/>
      </c>
      <c r="AA19" t="str">
        <f t="shared" si="5"/>
        <v>OK</v>
      </c>
    </row>
    <row r="20" spans="1:27">
      <c r="A20" s="155"/>
      <c r="B20" s="156"/>
      <c r="C20" s="157"/>
      <c r="D20" s="158"/>
      <c r="E20" s="158"/>
      <c r="F20" s="163"/>
      <c r="G20" s="156"/>
      <c r="H20" s="160"/>
      <c r="I20" s="156"/>
      <c r="J20" s="161"/>
      <c r="K20" s="164"/>
      <c r="L20" s="164"/>
      <c r="M20" s="162"/>
      <c r="N20" s="164"/>
      <c r="O20" s="164"/>
      <c r="P20" s="160"/>
      <c r="Q20" s="164"/>
      <c r="R20" s="169"/>
      <c r="S20" s="160"/>
      <c r="T20" s="156"/>
      <c r="V20" s="170">
        <f t="shared" si="1"/>
        <v>0</v>
      </c>
      <c r="W20" t="str">
        <f t="shared" si="2"/>
        <v>DB</v>
      </c>
      <c r="X20" t="str">
        <f t="shared" si="3"/>
        <v/>
      </c>
      <c r="Y20" t="str">
        <f t="shared" si="6"/>
        <v xml:space="preserve"> </v>
      </c>
      <c r="Z20" t="str">
        <f t="shared" si="4"/>
        <v/>
      </c>
      <c r="AA20" t="str">
        <f t="shared" si="5"/>
        <v>OK</v>
      </c>
    </row>
    <row r="21" spans="1:27">
      <c r="A21" s="155"/>
      <c r="B21" s="156"/>
      <c r="C21" s="157"/>
      <c r="D21" s="158"/>
      <c r="E21" s="158"/>
      <c r="F21" s="159"/>
      <c r="G21" s="156"/>
      <c r="H21" s="161"/>
      <c r="I21" s="156"/>
      <c r="J21" s="161"/>
      <c r="K21" s="164"/>
      <c r="L21" s="164"/>
      <c r="M21" s="161"/>
      <c r="N21" s="164"/>
      <c r="O21" s="164"/>
      <c r="P21" s="161"/>
      <c r="Q21" s="164"/>
      <c r="R21" s="169"/>
      <c r="S21" s="161"/>
      <c r="T21" s="160"/>
      <c r="V21" s="170">
        <f t="shared" si="1"/>
        <v>0</v>
      </c>
      <c r="W21" t="str">
        <f t="shared" si="2"/>
        <v>DB</v>
      </c>
      <c r="X21" t="str">
        <f t="shared" si="3"/>
        <v/>
      </c>
      <c r="Y21" t="str">
        <f t="shared" si="6"/>
        <v xml:space="preserve"> </v>
      </c>
      <c r="Z21" t="str">
        <f t="shared" si="4"/>
        <v/>
      </c>
      <c r="AA21" t="str">
        <f t="shared" si="5"/>
        <v>OK</v>
      </c>
    </row>
    <row r="22" spans="1:27">
      <c r="V22" s="170">
        <f t="shared" si="1"/>
        <v>0</v>
      </c>
      <c r="W22" t="str">
        <f t="shared" si="2"/>
        <v>DB</v>
      </c>
      <c r="X22" t="str">
        <f t="shared" si="3"/>
        <v/>
      </c>
      <c r="Y22" t="str">
        <f t="shared" si="6"/>
        <v xml:space="preserve"> </v>
      </c>
      <c r="Z22" t="str">
        <f t="shared" si="4"/>
        <v/>
      </c>
      <c r="AA22" t="str">
        <f t="shared" si="5"/>
        <v>OK</v>
      </c>
    </row>
    <row r="23" spans="1:27">
      <c r="V23" s="170">
        <f t="shared" si="1"/>
        <v>0</v>
      </c>
      <c r="W23" t="str">
        <f t="shared" si="2"/>
        <v>DB</v>
      </c>
      <c r="X23" t="str">
        <f t="shared" si="3"/>
        <v/>
      </c>
      <c r="Y23" t="str">
        <f t="shared" si="6"/>
        <v xml:space="preserve"> </v>
      </c>
      <c r="Z23" t="str">
        <f t="shared" si="4"/>
        <v/>
      </c>
      <c r="AA23" t="str">
        <f t="shared" si="5"/>
        <v>OK</v>
      </c>
    </row>
    <row r="24" spans="1:27">
      <c r="V24" s="170">
        <f t="shared" si="1"/>
        <v>0</v>
      </c>
      <c r="W24" t="str">
        <f t="shared" si="2"/>
        <v>DB</v>
      </c>
      <c r="X24" t="str">
        <f t="shared" si="3"/>
        <v/>
      </c>
      <c r="Y24" t="str">
        <f t="shared" si="6"/>
        <v xml:space="preserve"> </v>
      </c>
      <c r="Z24" t="str">
        <f t="shared" si="4"/>
        <v/>
      </c>
      <c r="AA24" t="str">
        <f t="shared" si="5"/>
        <v>OK</v>
      </c>
    </row>
    <row r="25" spans="1:27">
      <c r="V25" s="170">
        <f t="shared" si="1"/>
        <v>0</v>
      </c>
      <c r="W25" t="str">
        <f t="shared" si="2"/>
        <v>DB</v>
      </c>
      <c r="X25" t="str">
        <f t="shared" si="3"/>
        <v/>
      </c>
      <c r="Z25" t="str">
        <f t="shared" si="4"/>
        <v/>
      </c>
      <c r="AA25" t="str">
        <f t="shared" si="5"/>
        <v>OK</v>
      </c>
    </row>
    <row r="26" spans="1:27">
      <c r="V26" s="170">
        <f t="shared" si="1"/>
        <v>0</v>
      </c>
      <c r="W26" t="str">
        <f t="shared" si="2"/>
        <v>DB</v>
      </c>
      <c r="X26" t="str">
        <f t="shared" si="3"/>
        <v/>
      </c>
      <c r="Z26" t="str">
        <f t="shared" si="4"/>
        <v/>
      </c>
      <c r="AA26" t="str">
        <f t="shared" si="5"/>
        <v>OK</v>
      </c>
    </row>
    <row r="27" spans="1:27">
      <c r="V27" s="170">
        <f t="shared" si="1"/>
        <v>0</v>
      </c>
      <c r="W27" t="str">
        <f t="shared" si="2"/>
        <v>DB</v>
      </c>
      <c r="X27" t="str">
        <f t="shared" si="3"/>
        <v/>
      </c>
      <c r="Z27" t="str">
        <f t="shared" si="4"/>
        <v/>
      </c>
      <c r="AA27" t="str">
        <f t="shared" si="5"/>
        <v>OK</v>
      </c>
    </row>
    <row r="28" spans="1:27">
      <c r="V28" s="170">
        <f t="shared" si="1"/>
        <v>0</v>
      </c>
      <c r="W28" t="str">
        <f t="shared" si="2"/>
        <v>DB</v>
      </c>
      <c r="X28" t="str">
        <f t="shared" si="3"/>
        <v/>
      </c>
      <c r="Z28" t="str">
        <f t="shared" si="4"/>
        <v/>
      </c>
      <c r="AA28" t="str">
        <f t="shared" si="5"/>
        <v>OK</v>
      </c>
    </row>
    <row r="29" spans="1:27">
      <c r="V29" s="170">
        <f t="shared" si="1"/>
        <v>0</v>
      </c>
      <c r="W29" t="str">
        <f t="shared" si="2"/>
        <v>DB</v>
      </c>
      <c r="X29" t="str">
        <f t="shared" si="3"/>
        <v/>
      </c>
      <c r="Z29" t="str">
        <f t="shared" si="4"/>
        <v/>
      </c>
      <c r="AA29" t="str">
        <f t="shared" si="5"/>
        <v>OK</v>
      </c>
    </row>
    <row r="30" spans="1:27">
      <c r="V30" s="170">
        <f t="shared" si="1"/>
        <v>0</v>
      </c>
      <c r="W30" t="str">
        <f t="shared" si="2"/>
        <v>DB</v>
      </c>
      <c r="X30" t="str">
        <f t="shared" si="3"/>
        <v/>
      </c>
      <c r="Z30" t="str">
        <f t="shared" si="4"/>
        <v/>
      </c>
      <c r="AA30" t="str">
        <f t="shared" si="5"/>
        <v>OK</v>
      </c>
    </row>
    <row r="31" spans="1:27">
      <c r="V31" s="170">
        <f t="shared" si="1"/>
        <v>0</v>
      </c>
      <c r="W31" t="str">
        <f t="shared" si="2"/>
        <v>DB</v>
      </c>
      <c r="X31" t="str">
        <f t="shared" si="3"/>
        <v/>
      </c>
      <c r="Z31" t="str">
        <f t="shared" si="4"/>
        <v/>
      </c>
      <c r="AA31" t="str">
        <f t="shared" si="5"/>
        <v>OK</v>
      </c>
    </row>
    <row r="32" spans="1:27">
      <c r="V32" s="170">
        <f t="shared" si="1"/>
        <v>0</v>
      </c>
      <c r="W32" t="str">
        <f t="shared" si="2"/>
        <v>DB</v>
      </c>
      <c r="X32" t="str">
        <f t="shared" si="3"/>
        <v/>
      </c>
      <c r="Z32" t="str">
        <f t="shared" si="4"/>
        <v/>
      </c>
      <c r="AA32" t="str">
        <f t="shared" si="5"/>
        <v>OK</v>
      </c>
    </row>
    <row r="33" spans="22:27">
      <c r="V33" s="170">
        <f t="shared" si="1"/>
        <v>0</v>
      </c>
      <c r="W33" t="str">
        <f t="shared" si="2"/>
        <v>DB</v>
      </c>
      <c r="X33" t="str">
        <f t="shared" si="3"/>
        <v/>
      </c>
      <c r="Z33" t="str">
        <f t="shared" si="4"/>
        <v/>
      </c>
      <c r="AA33" t="str">
        <f t="shared" si="5"/>
        <v>OK</v>
      </c>
    </row>
    <row r="34" spans="22:27">
      <c r="V34" s="170">
        <f t="shared" si="1"/>
        <v>0</v>
      </c>
      <c r="W34" t="str">
        <f t="shared" si="2"/>
        <v>DB</v>
      </c>
      <c r="X34" t="str">
        <f t="shared" si="3"/>
        <v/>
      </c>
      <c r="Z34" t="str">
        <f t="shared" si="4"/>
        <v/>
      </c>
      <c r="AA34" t="str">
        <f t="shared" si="5"/>
        <v>OK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2" sqref="A2:E11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A2" t="s">
        <v>118</v>
      </c>
      <c r="B2">
        <v>43</v>
      </c>
      <c r="C2">
        <v>1</v>
      </c>
      <c r="D2">
        <v>75</v>
      </c>
      <c r="E2">
        <v>3.9</v>
      </c>
      <c r="H2" t="str">
        <f>RIGHT(A2,3)</f>
        <v>2.0</v>
      </c>
      <c r="I2">
        <f>ROUNDUP(E2*1.03,0)</f>
        <v>5</v>
      </c>
      <c r="J2" t="str">
        <f t="shared" ref="J2:J23" si="0">CONCATENATE(B2,"/",H2)</f>
        <v>43/2.0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>W 960 ST7</v>
      </c>
      <c r="M2" t="str">
        <f>IF(OR(ISNUMBER(FIND(" ST",L2)),ISNUMBER(FIND(" SM",L2)),ISNUMBER(FIND(" PM",L2)),ISNUMBER(FIND(" TM",L2)),ISNUMBER(FIND(" PG",L2)),ISNUMBER(FIND(" PA",L2))),SUBSTITUTE(L2," ","",1),L2)</f>
        <v>W960 ST7</v>
      </c>
    </row>
    <row r="3" spans="1:13">
      <c r="A3" t="s">
        <v>118</v>
      </c>
      <c r="B3">
        <v>23</v>
      </c>
      <c r="C3">
        <v>1</v>
      </c>
      <c r="D3">
        <v>75</v>
      </c>
      <c r="E3">
        <v>4.7</v>
      </c>
      <c r="H3" t="str">
        <f t="shared" ref="H3:H17" si="1">RIGHT(A3,3)</f>
        <v>2.0</v>
      </c>
      <c r="I3">
        <f t="shared" ref="I3:I23" si="2">ROUNDUP(E3*1.03,0)</f>
        <v>5</v>
      </c>
      <c r="J3" t="str">
        <f t="shared" si="0"/>
        <v>23/2.0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>W 960 ST7</v>
      </c>
      <c r="M3" t="str">
        <f t="shared" ref="M3:M23" si="4">IF(OR(ISNUMBER(FIND(" ST",L3)),ISNUMBER(FIND(" SM",L3)),ISNUMBER(FIND(" PM",L3)),ISNUMBER(FIND(" TM",L3)),ISNUMBER(FIND(" PG",L3)),ISNUMBER(FIND(" PA",L3))),SUBSTITUTE(L3," ","",1),L3)</f>
        <v>W960 ST7</v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9"/>
      <c r="B12" s="130"/>
      <c r="C12" s="131"/>
      <c r="D12" s="131"/>
      <c r="E12" s="132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9"/>
      <c r="B13" s="130"/>
      <c r="C13" s="131"/>
      <c r="D13" s="131"/>
      <c r="E13" s="132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9"/>
      <c r="B14" s="130"/>
      <c r="C14" s="131"/>
      <c r="D14" s="131"/>
      <c r="E14" s="132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4"/>
      <c r="B15" s="153"/>
      <c r="C15" s="153"/>
      <c r="D15" s="153"/>
      <c r="E15" s="153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H16" sqref="H16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DB</v>
      </c>
    </row>
    <row r="3" spans="9:9">
      <c r="I3" t="str">
        <f>IF(ISNUMBER(SEARCH("CLMEL", A3)), "CLEAF", Deco!W3)</f>
        <v>DB</v>
      </c>
    </row>
    <row r="4" spans="9:9">
      <c r="I4" t="str">
        <f>IF(ISNUMBER(SEARCH("CLMEL", A4)), "CLEAF", Deco!W4)</f>
        <v>DB</v>
      </c>
    </row>
    <row r="5" spans="9:9">
      <c r="I5" t="str">
        <f>IF(ISNUMBER(SEARCH("CLMEL", A5)), "CLEAF", Deco!W5)</f>
        <v>DB</v>
      </c>
    </row>
    <row r="6" spans="9:9">
      <c r="I6" t="str">
        <f>IF(ISNUMBER(SEARCH("CLMEL", A6)), "CLEAF", Deco!W6)</f>
        <v>DB</v>
      </c>
    </row>
    <row r="7" spans="9:9">
      <c r="I7" t="str">
        <f>IF(ISNUMBER(SEARCH("CLMEL", A7)), "CLEAF", Deco!W7)</f>
        <v>DB</v>
      </c>
    </row>
    <row r="8" spans="9:9">
      <c r="I8" t="str">
        <f>IF(ISNUMBER(SEARCH("CLMEL", A8)), "CLEAF", Deco!W8)</f>
        <v>DB</v>
      </c>
    </row>
    <row r="9" spans="9:9">
      <c r="I9" t="str">
        <f>IF(ISNUMBER(SEARCH("CLMEL", A9)), "CLEAF", Deco!W9)</f>
        <v>DB</v>
      </c>
    </row>
    <row r="10" spans="9:9">
      <c r="I10" t="str">
        <f>IF(ISNUMBER(SEARCH("CLMEL", A10)), "CLEAF", Deco!W10)</f>
        <v>DB</v>
      </c>
    </row>
    <row r="11" spans="9:9">
      <c r="I11" t="str">
        <f>IF(ISNUMBER(SEARCH("CLMEL", A11)), "CLEAF", Deco!W11)</f>
        <v>DB</v>
      </c>
    </row>
    <row r="12" spans="9:9">
      <c r="I12" t="str">
        <f>IF(ISNUMBER(SEARCH("CLMEL", A12)), "CLEAF", Deco!W12)</f>
        <v>DB</v>
      </c>
    </row>
    <row r="13" spans="9:9">
      <c r="I13" t="str">
        <f>IF(ISNUMBER(SEARCH("CLMEL", A13)), "CLEAF", Deco!W13)</f>
        <v>DB</v>
      </c>
    </row>
    <row r="14" spans="9:9">
      <c r="I14" t="str">
        <f>IF(ISNUMBER(SEARCH("CLMEL", A14)), "CLEAF", Deco!W14)</f>
        <v>DB</v>
      </c>
    </row>
    <row r="15" spans="9:9">
      <c r="I15" t="str">
        <f>IF(ISNUMBER(SEARCH("CLMEL", A15)), "CLEAF", Deco!W15)</f>
        <v>DB</v>
      </c>
    </row>
    <row r="16" spans="9:9">
      <c r="I16" t="str">
        <f>IF(ISNUMBER(SEARCH("CLMEL", A16)), "CLEAF", Deco!W16)</f>
        <v>DB</v>
      </c>
    </row>
    <row r="17" spans="9:9">
      <c r="I17" t="str">
        <f>IF(ISNUMBER(SEARCH("CLMEL", A17)), "CLEAF", Deco!W17)</f>
        <v>DB</v>
      </c>
    </row>
    <row r="18" spans="9:9">
      <c r="I18" t="str">
        <f>IF(ISNUMBER(SEARCH("CLMEL", A18)), "CLEAF", Deco!W18)</f>
        <v>DB</v>
      </c>
    </row>
    <row r="19" spans="9:9">
      <c r="I19" t="str">
        <f>IF(ISNUMBER(SEARCH("CLMEL", A19)), "CLEAF", Deco!W19)</f>
        <v>DB</v>
      </c>
    </row>
    <row r="20" spans="9:9">
      <c r="I20" t="str">
        <f>IF(ISNUMBER(SEARCH("CLMEL", A20)), "CLEAF", Deco!W20)</f>
        <v>DB</v>
      </c>
    </row>
    <row r="21" spans="9:9">
      <c r="I21" t="str">
        <f>IF(ISNUMBER(SEARCH("CLMEL", A21)), "CLEAF", Deco!W21)</f>
        <v>DB</v>
      </c>
    </row>
    <row r="22" spans="9:9">
      <c r="I22" t="str">
        <f>IF(ISNUMBER(SEARCH("CLMEL", A22)), "CLEAF", Deco!W22)</f>
        <v>DB</v>
      </c>
    </row>
    <row r="23" spans="9:9">
      <c r="I23" t="str">
        <f>IF(ISNUMBER(SEARCH("CLMEL", A23)), "CLEAF", Deco!W23)</f>
        <v>DB</v>
      </c>
    </row>
    <row r="24" spans="9:9">
      <c r="I24" t="str">
        <f>IF(ISNUMBER(SEARCH("CLMEL", A24)), "CLEAF", Deco!W24)</f>
        <v>DB</v>
      </c>
    </row>
    <row r="25" spans="9:9">
      <c r="I25" t="str">
        <f>IF(ISNUMBER(SEARCH("CLMEL", A25)), "CLEAF", Deco!W25)</f>
        <v>DB</v>
      </c>
    </row>
    <row r="26" spans="9:9">
      <c r="I26" t="str">
        <f>IF(ISNUMBER(SEARCH("CLMEL", A26)), "CLEAF", Deco!W26)</f>
        <v>DB</v>
      </c>
    </row>
    <row r="27" spans="9:9">
      <c r="I27" t="str">
        <f>IF(ISNUMBER(SEARCH("CLMEL", A27)), "CLEAF", Deco!W27)</f>
        <v>DB</v>
      </c>
    </row>
    <row r="28" spans="9:9">
      <c r="I28" t="str">
        <f>IF(ISNUMBER(SEARCH("CLMEL", A28)), "CLEAF", Deco!W28)</f>
        <v>DB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2026-06-26T12:21:03Z</dcterms:modified>
</cp:coreProperties>
</file>