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63F1A7E-22B7-4DF3-B43B-761E1A06A72D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8" i="6" l="1"/>
  <c r="O37" i="6"/>
  <c r="O36" i="6"/>
  <c r="O34" i="6"/>
  <c r="O33" i="6"/>
  <c r="O32" i="6"/>
  <c r="O28" i="6"/>
  <c r="O27" i="6"/>
  <c r="O26" i="6"/>
  <c r="O25" i="6"/>
  <c r="O24" i="6"/>
  <c r="O22" i="6"/>
  <c r="O21" i="6"/>
  <c r="O20" i="6"/>
  <c r="O19" i="6"/>
  <c r="O18" i="6"/>
  <c r="O17" i="6"/>
  <c r="O16" i="6"/>
  <c r="O14" i="6"/>
  <c r="O15" i="6"/>
  <c r="O13" i="6"/>
  <c r="O12" i="6"/>
  <c r="O11" i="6"/>
  <c r="S12" i="6"/>
  <c r="S11" i="6"/>
  <c r="Q11" i="6"/>
  <c r="B14" i="7"/>
  <c r="E14" i="7" s="1" a="1"/>
  <c r="E14" i="7" s="1"/>
  <c r="A15" i="7"/>
  <c r="A16" i="7"/>
  <c r="A17" i="7"/>
  <c r="A18" i="7"/>
  <c r="A14" i="7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M28" i="6"/>
  <c r="Q28" i="6"/>
  <c r="S28" i="6"/>
  <c r="I28" i="6"/>
  <c r="K28" i="6"/>
  <c r="I27" i="6"/>
  <c r="S25" i="6"/>
  <c r="K25" i="6"/>
  <c r="I25" i="6"/>
  <c r="Q25" i="6"/>
  <c r="K24" i="6"/>
  <c r="K27" i="6"/>
  <c r="Q27" i="6"/>
  <c r="S27" i="6"/>
  <c r="S26" i="6"/>
  <c r="I26" i="6"/>
  <c r="Q26" i="6"/>
  <c r="M26" i="6"/>
  <c r="M25" i="6"/>
  <c r="S24" i="6"/>
  <c r="Q24" i="6"/>
  <c r="M24" i="6"/>
  <c r="I24" i="6"/>
  <c r="I11" i="6"/>
  <c r="B30" i="7" l="1"/>
  <c r="B131" i="7"/>
  <c r="B124" i="7"/>
  <c r="B29" i="7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K20" i="6"/>
  <c r="Q20" i="6"/>
  <c r="I20" i="6"/>
  <c r="S20" i="6"/>
  <c r="Q19" i="6"/>
  <c r="K19" i="6"/>
  <c r="I19" i="6"/>
  <c r="S19" i="6"/>
  <c r="M19" i="6"/>
  <c r="K18" i="6"/>
  <c r="S18" i="6"/>
  <c r="Q18" i="6"/>
  <c r="I18" i="6"/>
  <c r="M18" i="6"/>
  <c r="Q17" i="6"/>
  <c r="M17" i="6"/>
  <c r="I17" i="6"/>
  <c r="K17" i="6"/>
  <c r="S17" i="6"/>
  <c r="I16" i="6"/>
  <c r="Q16" i="6"/>
  <c r="K16" i="6"/>
  <c r="M16" i="6"/>
  <c r="S16" i="6"/>
  <c r="M15" i="6"/>
  <c r="I15" i="6"/>
  <c r="S15" i="6"/>
  <c r="Q15" i="6"/>
  <c r="K15" i="6"/>
  <c r="Q14" i="6"/>
  <c r="I14" i="6"/>
  <c r="S14" i="6"/>
  <c r="K14" i="6"/>
  <c r="M14" i="6"/>
  <c r="Q13" i="6"/>
  <c r="K13" i="6"/>
  <c r="S13" i="6"/>
  <c r="I13" i="6"/>
  <c r="M13" i="6"/>
  <c r="K12" i="6"/>
  <c r="Q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B106" i="7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K32" i="6"/>
  <c r="B26" i="8" a="1"/>
  <c r="Q37" i="6"/>
  <c r="M34" i="6"/>
  <c r="B19" i="7"/>
  <c r="E19" i="7" s="1"/>
  <c r="C57" i="8"/>
  <c r="A180" i="7"/>
  <c r="D180" i="7" s="1"/>
  <c r="I34" i="6"/>
  <c r="C58" i="8"/>
  <c r="B20" i="7"/>
  <c r="E20" i="7" s="1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B163" i="7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B200" i="7" l="1"/>
  <c r="K11" i="6"/>
  <c r="B27" i="7" s="1"/>
  <c r="E26" i="8" a="1"/>
  <c r="E26" i="8" s="1"/>
  <c r="A27" i="7"/>
  <c r="D27" i="7" s="1"/>
  <c r="K41" i="6" l="1"/>
  <c r="B197" i="7" s="1"/>
  <c r="B170" i="7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<sst xmlns="http://schemas.openxmlformats.org/spreadsheetml/2006/main" count="203" uniqueCount="116">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</sst>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17" zoomScaleNormal="100" workbookViewId="0">
      <selection activeCell="D46" sqref="D4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80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&gt;0),SUMIFS(Cant!$I$2:$I$99,Cant!$M$2:$M$99,N11,Cant!$J$2:$J$99,"43/1.0")+SUMIFS(Cant!$I$2:$I$99,Cant!$M$2:$M$99,N11,Cant!$J$2:$J$99,"43/0.8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&gt;0),SUMIFS(Cant!$I$2:$I$99,Cant!$M$2:$M$99,N12,Cant!$J$2:$J$99,"43/1.0")+SUMIFS(Cant!$I$2:$I$99,Cant!$M$2:$M$99,N12,Cant!$J$2:$J$99,"43/0.8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&gt;0),SUMIFS(Cant!$I$2:$I$99,Cant!$M$2:$M$99,N13,Cant!$J$2:$J$99,"43/1.0")+SUMIFS(Cant!$I$2:$I$99,Cant!$M$2:$M$99,N13,Cant!$J$2:$J$99,"43/0.8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&gt;0),SUMIFS(Cant!$I$2:$I$99,Cant!$M$2:$M$99,N14,Cant!$J$2:$J$99,"43/1.0")+SUMIFS(Cant!$I$2:$I$99,Cant!$M$2:$M$99,N14,Cant!$J$2:$J$99,"43/0.8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&gt;0),SUMIFS(Cant!$I$2:$I$99,Cant!$M$2:$M$99,N15,Cant!$J$2:$J$99,"43/1.0")+SUMIFS(Cant!$I$2:$I$99,Cant!$M$2:$M$99,N15,Cant!$J$2:$J$99,"43/0.8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&gt;0),SUMIFS(Cant!$I$2:$I$99,Cant!$M$2:$M$99,N16,Cant!$J$2:$J$99,"43/1.0")+SUMIFS(Cant!$I$2:$I$99,Cant!$M$2:$M$99,N16,Cant!$J$2:$J$99,"43/0.8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&gt;0),SUMIFS(Cant!$I$2:$I$99,Cant!$M$2:$M$99,N17,Cant!$J$2:$J$99,"43/1.0")+SUMIFS(Cant!$I$2:$I$99,Cant!$M$2:$M$99,N17,Cant!$J$2:$J$99,"43/0.8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&gt;0),SUMIFS(Cant!$I$2:$I$99,Cant!$M$2:$M$99,N18,Cant!$J$2:$J$99,"43/1.0")+SUMIFS(Cant!$I$2:$I$99,Cant!$M$2:$M$99,N18,Cant!$J$2:$J$99,"43/0.8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&gt;0),SUMIFS(Cant!$I$2:$I$99,Cant!$M$2:$M$99,N19,Cant!$J$2:$J$99,"43/1.0")+SUMIFS(Cant!$I$2:$I$99,Cant!$M$2:$M$99,N19,Cant!$J$2:$J$99,"43/0.8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&gt;0),SUMIFS(Cant!$I$2:$I$99,Cant!$M$2:$M$99,N20,Cant!$J$2:$J$99,"43/1.0")+SUMIFS(Cant!$I$2:$I$99,Cant!$M$2:$M$99,N20,Cant!$J$2:$J$99,"43/0.8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&gt;0),SUMIFS(Cant!$I$2:$I$99,Cant!$M$2:$M$99,N21,Cant!$J$2:$J$99,"43/1.0")+SUMIFS(Cant!$I$2:$I$99,Cant!$M$2:$M$99,N21,Cant!$J$2:$J$99,"43/0.8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&gt;0),SUMIFS(Cant!$I$2:$I$99,Cant!$M$2:$M$99,N22,Cant!$J$2:$J$99,"43/1.0")+SUMIFS(Cant!$I$2:$I$99,Cant!$M$2:$M$99,N22,Cant!$J$2:$J$99,"43/0.8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/>
      <c r="C24" s="58"/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&gt;0),SUMIFS(Cant!$I$2:$I$99,Cant!$M$2:$M$99,N24,Cant!$J$2:$J$99,"43/1.0")+SUMIFS(Cant!$I$2:$I$99,Cant!$M$2:$M$99,N24,Cant!$J$2:$J$99,"43/0.8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&gt;0),SUMIFS(Cant!$I$2:$I$99,Cant!$M$2:$M$99,N25,Cant!$J$2:$J$99,"43/1.0")+SUMIFS(Cant!$I$2:$I$99,Cant!$M$2:$M$99,N25,Cant!$J$2:$J$99,"43/0.8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&gt;0),SUMIFS(Cant!$I$2:$I$99,Cant!$M$2:$M$99,N26,Cant!$J$2:$J$99,"43/1.0")+SUMIFS(Cant!$I$2:$I$99,Cant!$M$2:$M$99,N26,Cant!$J$2:$J$99,"43/0.8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&gt;0),SUMIFS(Cant!$I$2:$I$99,Cant!$M$2:$M$99,N27,Cant!$J$2:$J$99,"43/1.0")+SUMIFS(Cant!$I$2:$I$99,Cant!$M$2:$M$99,N27,Cant!$J$2:$J$99,"43/0.8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&gt;0),SUMIFS(Cant!$I$2:$I$99,Cant!$M$2:$M$99,N28,Cant!$J$2:$J$99,"43/1.0")+SUMIFS(Cant!$I$2:$I$99,Cant!$M$2:$M$99,N28,Cant!$J$2:$J$99,"43/0.8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&gt;0),SUMIFS(Cant!$I$2:$I$100,Cant!$M$2:$M$100,N32,Cant!$J$2:$J$100,"43/1.0")+SUMIFS(Cant!$I$2:$I$99,Cant!$M$2:$M$99,N32,Cant!$J$2:$J$99,"43/0.8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&gt;0),SUMIFS(Cant!$I$2:$I$100,Cant!$M$2:$M$100,N33,Cant!$J$2:$J$100,"43/1.0")+SUMIFS(Cant!$I$2:$I$99,Cant!$M$2:$M$99,N33,Cant!$J$2:$J$99,"43/0.8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&gt;0),SUMIFS(Cant!$I$2:$I$100,Cant!$M$2:$M$100,N34,Cant!$J$2:$J$100,"43/1.0")+SUMIFS(Cant!$I$2:$I$99,Cant!$M$2:$M$99,N34,Cant!$J$2:$J$99,"43/0.8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&gt;0),SUMIFS(Cant!$I$2:$I$100,Cant!$M$2:$M$100,N36,Cant!$J$2:$J$100,"43/1.0")+SUMIFS(Cant!$I$2:$I$99,Cant!$M$2:$M$99,N36,Cant!$J$2:$J$99,"43/0.8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&gt;0),SUMIFS(Cant!$I$2:$I$100,Cant!$M$2:$M$100,N37,Cant!$J$2:$J$100,"43/1.0")+SUMIFS(Cant!$I$2:$I$99,Cant!$M$2:$M$99,N37,Cant!$J$2:$J$99,"43/0.8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&gt;0),SUMIFS(Cant!$I$2:$I$100,Cant!$M$2:$M$100,N38,Cant!$J$2:$J$100,"43/1.0")+SUMIFS(Cant!$I$2:$I$99,Cant!$M$2:$M$99,N38,Cant!$J$2:$J$99,"43/0.8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86</v>
      </c>
      <c r="K47" s="164">
        <v>1</v>
      </c>
      <c r="N47" s="162" t="s">
        <v>108</v>
      </c>
      <c r="O47" s="236"/>
      <c r="P47" s="237"/>
      <c r="R47" s="162" t="s">
        <v>114</v>
      </c>
      <c r="S47" s="162"/>
    </row>
    <row r="48" spans="1:19" ht="15.75" thickBot="1">
      <c r="A48" s="234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85" workbookViewId="0">
      <selection activeCell="J96" sqref="J96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>
        <f>Fisa!C24</f>
        <v>0</v>
      </c>
      <c r="C14" t="str">
        <f>_xlfn.CONCAT(Fisa!D24)</f>
        <v>mp</v>
      </c>
      <c r="D14" t="str">
        <f t="shared" si="0"/>
        <v xml:space="preserve"> mp</v>
      </c>
      <c r="E14" s="102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>0</v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B54" sqref="B54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>
        <f>Fisa!B24</f>
        <v>0</v>
      </c>
      <c r="C20" s="8">
        <f>Fisa!C24</f>
        <v>0</v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>
        <f>Fisa!B24</f>
        <v>0</v>
      </c>
      <c r="C50" s="10">
        <f>Fisa!C24</f>
        <v>0</v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I21" sqref="I21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M2" sqref="M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2026-09-03T07:22:00Z</dcterms:modified>
</cp:coreProperties>
</file>