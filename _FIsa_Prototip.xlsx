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B89577B7-76F5-45AB-B2F7-949E484B5C25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B199" i="7"/>
  <c r="B200" i="7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<sst xmlns="http://schemas.openxmlformats.org/spreadsheetml/2006/main" count="203" uniqueCount="116">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</sst>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4" zoomScaleNormal="100" workbookViewId="0">
      <selection activeCell="J15" sqref="J1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5" t="s">
        <v>36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7"/>
      <c r="M1" s="38" t="s">
        <v>70</v>
      </c>
      <c r="N1" s="39" t="s">
        <v>64</v>
      </c>
      <c r="O1" s="198" t="s">
        <v>69</v>
      </c>
      <c r="P1" s="199"/>
      <c r="Q1" s="199"/>
      <c r="R1" s="199"/>
      <c r="S1" s="200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201"/>
      <c r="P2" s="202"/>
      <c r="Q2" s="202"/>
      <c r="R2" s="202"/>
      <c r="S2" s="203"/>
    </row>
    <row r="3" spans="1:19">
      <c r="A3" s="20" t="s">
        <v>49</v>
      </c>
      <c r="B3" s="211"/>
      <c r="C3" s="212"/>
      <c r="D3" s="213"/>
      <c r="H3" s="20" t="s">
        <v>59</v>
      </c>
      <c r="I3" s="218"/>
      <c r="J3" s="219"/>
      <c r="K3" s="220"/>
      <c r="M3" s="27">
        <v>2</v>
      </c>
      <c r="N3" s="73"/>
      <c r="O3" s="208"/>
      <c r="P3" s="209"/>
      <c r="Q3" s="209"/>
      <c r="R3" s="209"/>
      <c r="S3" s="210"/>
    </row>
    <row r="4" spans="1:19">
      <c r="A4" s="21" t="s">
        <v>47</v>
      </c>
      <c r="B4" s="192"/>
      <c r="C4" s="193"/>
      <c r="D4" s="194"/>
      <c r="H4" s="21" t="s">
        <v>60</v>
      </c>
      <c r="I4" s="195"/>
      <c r="J4" s="196"/>
      <c r="K4" s="197"/>
      <c r="M4" s="27">
        <v>3</v>
      </c>
      <c r="N4" s="73"/>
      <c r="O4" s="208"/>
      <c r="P4" s="209"/>
      <c r="Q4" s="209"/>
      <c r="R4" s="209"/>
      <c r="S4" s="210"/>
    </row>
    <row r="5" spans="1:19">
      <c r="A5" s="21" t="s">
        <v>48</v>
      </c>
      <c r="B5" s="214"/>
      <c r="C5" s="215"/>
      <c r="D5" s="216"/>
      <c r="H5" s="21" t="s">
        <v>61</v>
      </c>
      <c r="I5" s="217"/>
      <c r="J5" s="209"/>
      <c r="K5" s="210"/>
      <c r="M5" s="27">
        <v>4</v>
      </c>
      <c r="N5" s="73"/>
      <c r="O5" s="208"/>
      <c r="P5" s="209"/>
      <c r="Q5" s="209"/>
      <c r="R5" s="209"/>
      <c r="S5" s="210"/>
    </row>
    <row r="6" spans="1:19" ht="15.75" thickBot="1">
      <c r="A6" s="22" t="s">
        <v>7</v>
      </c>
      <c r="B6" s="171"/>
      <c r="C6" s="172"/>
      <c r="D6" s="173"/>
      <c r="H6" s="22" t="s">
        <v>62</v>
      </c>
      <c r="I6" s="174"/>
      <c r="J6" s="175"/>
      <c r="K6" s="176"/>
      <c r="M6" s="28">
        <v>5</v>
      </c>
      <c r="N6" s="74"/>
      <c r="O6" s="204"/>
      <c r="P6" s="175"/>
      <c r="Q6" s="175"/>
      <c r="R6" s="175"/>
      <c r="S6" s="176"/>
    </row>
    <row r="7" spans="1:19" s="50" customFormat="1" ht="2.1" hidden="1" customHeight="1" thickBot="1"/>
    <row r="8" spans="1:19" ht="15.75" customHeight="1" thickBot="1">
      <c r="A8" s="177" t="s">
        <v>1</v>
      </c>
      <c r="B8" s="178"/>
      <c r="C8" s="178"/>
      <c r="D8" s="179"/>
      <c r="F8" s="183" t="s">
        <v>73</v>
      </c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9"/>
    </row>
    <row r="9" spans="1:19" ht="15.75" thickBot="1">
      <c r="A9" s="180"/>
      <c r="B9" s="181"/>
      <c r="C9" s="181"/>
      <c r="D9" s="182"/>
      <c r="F9" s="229" t="s">
        <v>28</v>
      </c>
      <c r="G9" s="230"/>
      <c r="H9" s="243" t="s">
        <v>29</v>
      </c>
      <c r="I9" s="244"/>
      <c r="J9" s="227" t="s">
        <v>16</v>
      </c>
      <c r="K9" s="228"/>
      <c r="L9" s="190" t="s">
        <v>19</v>
      </c>
      <c r="M9" s="191"/>
      <c r="N9" s="187" t="s">
        <v>80</v>
      </c>
      <c r="O9" s="188"/>
      <c r="P9" s="185" t="s">
        <v>68</v>
      </c>
      <c r="Q9" s="186"/>
      <c r="R9" s="187" t="s">
        <v>18</v>
      </c>
      <c r="S9" s="188"/>
    </row>
    <row r="10" spans="1:19" ht="15.75" thickBot="1">
      <c r="A10" s="234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5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5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5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5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5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5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5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5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5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5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5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6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4" t="s">
        <v>10</v>
      </c>
      <c r="B24" s="56" t="str">
        <f>IFERROR(INDEX(Deco!$Y$2:$Y$99,_xlfn.AGGREGATE(15,6,ROW(Deco!$Y$2:$Y$99)-ROW(Deco!$Y$2)+1/(Deco!$W$2:$W$99="MDF"),1)),"")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5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5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5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7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4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5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6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4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5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6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4" t="s">
        <v>50</v>
      </c>
      <c r="B40" s="32" t="s">
        <v>67</v>
      </c>
      <c r="C40" s="32" t="s">
        <v>71</v>
      </c>
      <c r="D40" s="18" t="s">
        <v>51</v>
      </c>
      <c r="F40" s="231" t="s">
        <v>72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235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5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5">
        <f>IF(COUNTIF(Deco!AA2:AA34,"Vezi EK")&gt;0,0,1)</f>
        <v>1</v>
      </c>
    </row>
    <row r="43" spans="1:19" ht="15.75" thickBot="1">
      <c r="A43" s="235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3" t="str">
        <f>IF(COUNTIF(Deco!AA2:AA34,"Vezi EK")&gt;0,"Atentie! Verifica EK dublaje","Nr. Piese Dublaje")</f>
        <v>Nr. Piese Dublaje</v>
      </c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238"/>
    </row>
    <row r="44" spans="1:19">
      <c r="A44" s="235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5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5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5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5" t="s">
        <v>34</v>
      </c>
      <c r="G47" s="169" t="str">
        <f>IF(I6="PLAN M",SUM(C11:C28), "N/A")</f>
        <v>N/A</v>
      </c>
      <c r="J47" s="165" t="s">
        <v>86</v>
      </c>
      <c r="K47" s="167">
        <v>1</v>
      </c>
      <c r="N47" s="165" t="s">
        <v>108</v>
      </c>
      <c r="O47" s="239"/>
      <c r="P47" s="240"/>
      <c r="R47" s="165" t="s">
        <v>114</v>
      </c>
      <c r="S47" s="165"/>
    </row>
    <row r="48" spans="1:19" ht="15.75" thickBot="1">
      <c r="A48" s="237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6"/>
      <c r="G48" s="170"/>
      <c r="J48" s="166"/>
      <c r="K48" s="168"/>
      <c r="N48" s="238"/>
      <c r="O48" s="241"/>
      <c r="P48" s="242"/>
      <c r="R48" s="238"/>
      <c r="S48" s="166"/>
    </row>
    <row r="49" spans="1:19" ht="2.1" hidden="1" customHeight="1">
      <c r="A49" s="40"/>
      <c r="B49" s="41"/>
      <c r="C49" s="1"/>
      <c r="D49" s="2"/>
    </row>
    <row r="50" spans="1:19">
      <c r="A50" s="221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22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22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22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22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22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22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22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22"/>
      <c r="B58" s="140"/>
      <c r="S58" s="141"/>
    </row>
    <row r="59" spans="1:19">
      <c r="A59" s="222"/>
      <c r="B59" s="140"/>
      <c r="S59" s="141"/>
    </row>
    <row r="60" spans="1:19">
      <c r="A60" s="222"/>
      <c r="B60" s="140"/>
      <c r="S60" s="141"/>
    </row>
    <row r="61" spans="1:19">
      <c r="A61" s="222"/>
      <c r="B61" s="140"/>
      <c r="S61" s="141"/>
    </row>
    <row r="62" spans="1:19">
      <c r="A62" s="222"/>
      <c r="B62" s="140"/>
      <c r="S62" s="141"/>
    </row>
    <row r="63" spans="1:19">
      <c r="A63" s="222"/>
      <c r="B63" s="140"/>
      <c r="S63" s="141"/>
    </row>
    <row r="64" spans="1:19">
      <c r="A64" s="222"/>
      <c r="B64" s="140"/>
      <c r="S64" s="141"/>
    </row>
    <row r="65" spans="1:19">
      <c r="A65" s="222"/>
      <c r="B65" s="140"/>
      <c r="S65" s="141"/>
    </row>
    <row r="66" spans="1:19">
      <c r="A66" s="222"/>
      <c r="B66" s="140"/>
      <c r="S66" s="141"/>
    </row>
    <row r="67" spans="1:19">
      <c r="A67" s="222"/>
      <c r="B67" s="140"/>
      <c r="S67" s="141"/>
    </row>
    <row r="68" spans="1:19" ht="15.75" thickBot="1">
      <c r="A68" s="223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175" workbookViewId="0">
      <selection activeCell="B200" sqref="B200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Fisa!S41++Q41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7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162" t="s">
        <v>14</v>
      </c>
      <c r="B1" s="162"/>
      <c r="C1" s="162"/>
      <c r="D1" s="162"/>
      <c r="E1" s="162"/>
      <c r="F1" s="162"/>
      <c r="G1" s="162"/>
      <c r="H1" s="162"/>
      <c r="I1" s="162"/>
      <c r="J1" s="1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163">
        <f>Fisa!B3:D3</f>
        <v>0</v>
      </c>
      <c r="C3" s="163"/>
      <c r="D3" s="163"/>
      <c r="E3" s="163"/>
      <c r="F3" s="163"/>
      <c r="G3" s="163"/>
      <c r="H3" s="5"/>
      <c r="I3" s="5"/>
      <c r="J3" s="5"/>
      <c r="K3" s="5"/>
      <c r="L3" s="5"/>
    </row>
    <row r="4" spans="1:12" customFormat="1">
      <c r="A4" s="6" t="s">
        <v>7</v>
      </c>
      <c r="B4" s="164">
        <f>Fisa!B6</f>
        <v>0</v>
      </c>
      <c r="C4" s="1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W25" sqref="W25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2026-08-20T11:00:55Z</dcterms:modified>
</cp:coreProperties>
</file>