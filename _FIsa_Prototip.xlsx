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43559CB7-E9D6-46EC-AC32-EC7F3F709AF7}" xr6:coauthVersionLast="47" xr6:coauthVersionMax="47" xr10:uidLastSave="{00000000-0000-0000-0000-000000000000}"/>
  <bookViews>
    <workbookView xWindow="-120" yWindow="-120" windowWidth="29040" windowHeight="15720" activeTab="3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" i="9" l="1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W3" i="9"/>
  <c r="Z3" i="9" s="1"/>
  <c r="W4" i="9"/>
  <c r="W5" i="9"/>
  <c r="W6" i="9"/>
  <c r="W7" i="9"/>
  <c r="W8" i="9"/>
  <c r="W9" i="9"/>
  <c r="W10" i="9"/>
  <c r="Z10" i="9" s="1"/>
  <c r="W11" i="9"/>
  <c r="W12" i="9"/>
  <c r="W13" i="9"/>
  <c r="Z13" i="9" s="1"/>
  <c r="W14" i="9"/>
  <c r="Z14" i="9" s="1"/>
  <c r="W15" i="9"/>
  <c r="W16" i="9"/>
  <c r="W17" i="9"/>
  <c r="W18" i="9"/>
  <c r="W19" i="9"/>
  <c r="W20" i="9"/>
  <c r="W21" i="9"/>
  <c r="W22" i="9"/>
  <c r="Z22" i="9" s="1"/>
  <c r="W23" i="9"/>
  <c r="W24" i="9"/>
  <c r="W25" i="9"/>
  <c r="Z25" i="9" s="1"/>
  <c r="W26" i="9"/>
  <c r="Z26" i="9" s="1"/>
  <c r="W27" i="9"/>
  <c r="W28" i="9"/>
  <c r="W29" i="9"/>
  <c r="W30" i="9"/>
  <c r="W31" i="9"/>
  <c r="W32" i="9"/>
  <c r="W33" i="9"/>
  <c r="W34" i="9"/>
  <c r="Z34" i="9" s="1"/>
  <c r="W2" i="9"/>
  <c r="AA2" i="9" s="1"/>
  <c r="Z15" i="9"/>
  <c r="Z16" i="9"/>
  <c r="Z17" i="9"/>
  <c r="Z18" i="9"/>
  <c r="Z19" i="9"/>
  <c r="Z20" i="9"/>
  <c r="Z21" i="9"/>
  <c r="Z27" i="9"/>
  <c r="Z28" i="9"/>
  <c r="Z29" i="9"/>
  <c r="Z30" i="9"/>
  <c r="Z31" i="9"/>
  <c r="Z32" i="9"/>
  <c r="Z33" i="9"/>
  <c r="Z4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V2" i="9" l="1"/>
  <c r="C48" i="6"/>
  <c r="Z24" i="9"/>
  <c r="Z12" i="9"/>
  <c r="Z23" i="9"/>
  <c r="Z11" i="9"/>
  <c r="Z2" i="9"/>
  <c r="Z9" i="9"/>
  <c r="Z8" i="9"/>
  <c r="Z7" i="9"/>
  <c r="R45" i="6" a="1"/>
  <c r="R45" i="6" s="1"/>
  <c r="S45" i="6" s="1"/>
  <c r="Z6" i="9"/>
  <c r="J45" i="6" a="1"/>
  <c r="J45" i="6" s="1"/>
  <c r="K45" i="6" s="1"/>
  <c r="Z5" i="9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C47" i="6" l="1"/>
  <c r="C42" i="6"/>
  <c r="C41" i="6"/>
  <c r="S42" i="6"/>
  <c r="F43" i="6"/>
  <c r="I20" i="19"/>
  <c r="I19" i="19"/>
  <c r="I17" i="19"/>
  <c r="I15" i="19"/>
  <c r="B11" i="6"/>
  <c r="I23" i="6"/>
  <c r="B15" i="6" a="1"/>
  <c r="B15" i="6" s="1"/>
  <c r="D15" i="6" s="1" a="1"/>
  <c r="D15" i="6" s="1"/>
  <c r="C15" i="6" s="1" a="1"/>
  <c r="C15" i="6" s="1"/>
  <c r="B24" i="6"/>
  <c r="B32" i="6" a="1"/>
  <c r="B32" i="6" s="1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F37" i="6" s="1"/>
  <c r="B22" i="6" a="1"/>
  <c r="B22" i="6" s="1"/>
  <c r="B27" i="6" a="1"/>
  <c r="B27" i="6" s="1"/>
  <c r="B38" i="6" a="1"/>
  <c r="B38" i="6" s="1"/>
  <c r="F38" i="6" s="1"/>
  <c r="B14" i="6" l="1" a="1"/>
  <c r="B14" i="6" s="1"/>
  <c r="D14" i="6" s="1" a="1"/>
  <c r="D14" i="6" s="1"/>
  <c r="C14" i="6" s="1" a="1"/>
  <c r="C14" i="6" s="1"/>
  <c r="B12" i="6" a="1"/>
  <c r="B12" i="6" s="1"/>
  <c r="F26" i="6"/>
  <c r="D26" i="6" a="1"/>
  <c r="D26" i="6" s="1"/>
  <c r="C26" i="6" s="1" a="1"/>
  <c r="C26" i="6" s="1"/>
  <c r="F19" i="6"/>
  <c r="D19" i="6" a="1"/>
  <c r="D19" i="6" s="1"/>
  <c r="C19" i="6" s="1" a="1"/>
  <c r="C19" i="6" s="1"/>
  <c r="F18" i="6"/>
  <c r="D18" i="6" a="1"/>
  <c r="D18" i="6" s="1"/>
  <c r="C18" i="6" s="1" a="1"/>
  <c r="C18" i="6" s="1"/>
  <c r="F21" i="6"/>
  <c r="D21" i="6" a="1"/>
  <c r="D21" i="6" s="1"/>
  <c r="C21" i="6" s="1" a="1"/>
  <c r="C21" i="6" s="1"/>
  <c r="F28" i="6"/>
  <c r="D28" i="6" a="1"/>
  <c r="D28" i="6" s="1"/>
  <c r="C28" i="6" s="1" a="1"/>
  <c r="C28" i="6" s="1"/>
  <c r="F24" i="6"/>
  <c r="D24" i="6" a="1"/>
  <c r="D24" i="6" s="1"/>
  <c r="C24" i="6" s="1" a="1"/>
  <c r="C24" i="6" s="1"/>
  <c r="F17" i="6"/>
  <c r="D17" i="6" a="1"/>
  <c r="D17" i="6" s="1"/>
  <c r="C17" i="6" s="1" a="1"/>
  <c r="C17" i="6" s="1"/>
  <c r="F20" i="6"/>
  <c r="D20" i="6" a="1"/>
  <c r="D20" i="6" s="1"/>
  <c r="C20" i="6" s="1" a="1"/>
  <c r="C20" i="6" s="1"/>
  <c r="F27" i="6"/>
  <c r="D27" i="6" a="1"/>
  <c r="D27" i="6" s="1"/>
  <c r="C27" i="6" s="1" a="1"/>
  <c r="C27" i="6" s="1"/>
  <c r="F22" i="6"/>
  <c r="D22" i="6" a="1"/>
  <c r="D22" i="6" s="1"/>
  <c r="C22" i="6" s="1" a="1"/>
  <c r="C22" i="6" s="1"/>
  <c r="B25" i="6"/>
  <c r="B36" i="6" a="1"/>
  <c r="B36" i="6" s="1"/>
  <c r="F36" i="6" s="1"/>
  <c r="D11" i="6" a="1"/>
  <c r="D11" i="6" s="1"/>
  <c r="C11" i="6" s="1" a="1"/>
  <c r="C11" i="6" s="1"/>
  <c r="B33" i="6" a="1"/>
  <c r="B33" i="6" s="1"/>
  <c r="C33" i="6" s="1"/>
  <c r="F15" i="6"/>
  <c r="B16" i="6" a="1"/>
  <c r="B16" i="6" s="1"/>
  <c r="B13" i="6" a="1"/>
  <c r="B13" i="6" s="1"/>
  <c r="C38" i="6"/>
  <c r="F32" i="6"/>
  <c r="C32" i="6"/>
  <c r="C34" i="6"/>
  <c r="F34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F14" i="6"/>
  <c r="L20" i="6"/>
  <c r="L19" i="6"/>
  <c r="F13" i="6"/>
  <c r="D13" i="6" a="1"/>
  <c r="D13" i="6" s="1"/>
  <c r="C13" i="6" s="1" a="1"/>
  <c r="C13" i="6" s="1"/>
  <c r="F25" i="6"/>
  <c r="D25" i="6" a="1"/>
  <c r="D25" i="6" s="1"/>
  <c r="C25" i="6" s="1" a="1"/>
  <c r="C25" i="6" s="1"/>
  <c r="F16" i="6"/>
  <c r="D16" i="6" a="1"/>
  <c r="D16" i="6" s="1"/>
  <c r="C16" i="6" s="1" a="1"/>
  <c r="C16" i="6" s="1"/>
  <c r="F12" i="6"/>
  <c r="D12" i="6" a="1"/>
  <c r="D12" i="6" s="1"/>
  <c r="C12" i="6" s="1" a="1"/>
  <c r="C12" i="6" s="1"/>
  <c r="F11" i="6"/>
  <c r="C36" i="6"/>
  <c r="C45" i="6" s="1"/>
  <c r="F33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28" i="6" l="1"/>
  <c r="G47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S23" i="6" s="1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L21" i="6" l="1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R20" i="6"/>
  <c r="S20" i="6" s="1"/>
  <c r="P19" i="6"/>
  <c r="Q19" i="6" s="1"/>
  <c r="J19" i="6"/>
  <c r="K19" i="6" s="1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P17" i="6"/>
  <c r="Q17" i="6" s="1"/>
  <c r="L17" i="6"/>
  <c r="M17" i="6" s="1"/>
  <c r="H17" i="6"/>
  <c r="I17" i="6" s="1"/>
  <c r="N17" i="6"/>
  <c r="O17" i="6" s="1"/>
  <c r="J17" i="6"/>
  <c r="K17" i="6" s="1"/>
  <c r="R17" i="6"/>
  <c r="S17" i="6" s="1"/>
  <c r="H16" i="6"/>
  <c r="I16" i="6" s="1"/>
  <c r="N16" i="6"/>
  <c r="O16" i="6" s="1"/>
  <c r="P16" i="6"/>
  <c r="Q16" i="6" s="1"/>
  <c r="J16" i="6"/>
  <c r="K16" i="6" s="1"/>
  <c r="L16" i="6"/>
  <c r="M16" i="6" s="1"/>
  <c r="R16" i="6"/>
  <c r="S16" i="6" s="1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<sst xmlns="http://schemas.openxmlformats.org/spreadsheetml/2006/main" count="205" uniqueCount="118">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</sst>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8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6" xfId="0" applyBorder="1"/>
    <xf numFmtId="0" fontId="0" fillId="0" borderId="3" xfId="0" applyBorder="1"/>
    <xf numFmtId="0" fontId="2" fillId="0" borderId="47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6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0" fillId="0" borderId="50" xfId="0" applyBorder="1"/>
    <xf numFmtId="0" fontId="0" fillId="0" borderId="49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1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opLeftCell="A15" zoomScaleNormal="100" workbookViewId="0">
      <selection activeCell="B36" sqref="B36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20" t="s">
        <v>37</v>
      </c>
      <c r="B1" s="221"/>
      <c r="C1" s="221"/>
      <c r="D1" s="221"/>
      <c r="E1" s="221"/>
      <c r="F1" s="221"/>
      <c r="G1" s="221"/>
      <c r="H1" s="221"/>
      <c r="I1" s="221"/>
      <c r="J1" s="221"/>
      <c r="K1" s="221"/>
      <c r="L1" s="222"/>
      <c r="M1" s="38" t="s">
        <v>71</v>
      </c>
      <c r="N1" s="39" t="s">
        <v>65</v>
      </c>
      <c r="O1" s="211" t="s">
        <v>70</v>
      </c>
      <c r="P1" s="212"/>
      <c r="Q1" s="212"/>
      <c r="R1" s="212"/>
      <c r="S1" s="213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14"/>
      <c r="P2" s="215"/>
      <c r="Q2" s="215"/>
      <c r="R2" s="215"/>
      <c r="S2" s="216"/>
    </row>
    <row r="3" spans="1:19">
      <c r="A3" s="20" t="s">
        <v>50</v>
      </c>
      <c r="B3" s="226"/>
      <c r="C3" s="227"/>
      <c r="D3" s="228"/>
      <c r="H3" s="20" t="s">
        <v>60</v>
      </c>
      <c r="I3" s="233"/>
      <c r="J3" s="234"/>
      <c r="K3" s="235"/>
      <c r="M3" s="27">
        <v>2</v>
      </c>
      <c r="N3" s="76"/>
      <c r="O3" s="223"/>
      <c r="P3" s="224"/>
      <c r="Q3" s="224"/>
      <c r="R3" s="224"/>
      <c r="S3" s="225"/>
    </row>
    <row r="4" spans="1:19">
      <c r="A4" s="21" t="s">
        <v>48</v>
      </c>
      <c r="B4" s="243"/>
      <c r="C4" s="244"/>
      <c r="D4" s="245"/>
      <c r="H4" s="21" t="s">
        <v>61</v>
      </c>
      <c r="I4" s="246"/>
      <c r="J4" s="247"/>
      <c r="K4" s="248"/>
      <c r="M4" s="27">
        <v>3</v>
      </c>
      <c r="N4" s="76"/>
      <c r="O4" s="223"/>
      <c r="P4" s="224"/>
      <c r="Q4" s="224"/>
      <c r="R4" s="224"/>
      <c r="S4" s="225"/>
    </row>
    <row r="5" spans="1:19">
      <c r="A5" s="21" t="s">
        <v>49</v>
      </c>
      <c r="B5" s="229"/>
      <c r="C5" s="230"/>
      <c r="D5" s="231"/>
      <c r="H5" s="21" t="s">
        <v>62</v>
      </c>
      <c r="I5" s="232"/>
      <c r="J5" s="224"/>
      <c r="K5" s="225"/>
      <c r="M5" s="27">
        <v>4</v>
      </c>
      <c r="N5" s="76"/>
      <c r="O5" s="223"/>
      <c r="P5" s="224"/>
      <c r="Q5" s="224"/>
      <c r="R5" s="224"/>
      <c r="S5" s="225"/>
    </row>
    <row r="6" spans="1:19" ht="15.75" thickBot="1">
      <c r="A6" s="22" t="s">
        <v>7</v>
      </c>
      <c r="B6" s="253"/>
      <c r="C6" s="254"/>
      <c r="D6" s="255"/>
      <c r="H6" s="22" t="s">
        <v>63</v>
      </c>
      <c r="I6" s="256"/>
      <c r="J6" s="218"/>
      <c r="K6" s="219"/>
      <c r="M6" s="28">
        <v>5</v>
      </c>
      <c r="N6" s="77"/>
      <c r="O6" s="217"/>
      <c r="P6" s="218"/>
      <c r="Q6" s="218"/>
      <c r="R6" s="218"/>
      <c r="S6" s="219"/>
    </row>
    <row r="7" spans="1:19" s="51" customFormat="1" ht="2.1" hidden="1" customHeight="1" thickBot="1"/>
    <row r="8" spans="1:19" ht="15.75" customHeight="1" thickBot="1">
      <c r="A8" s="257" t="s">
        <v>1</v>
      </c>
      <c r="B8" s="258"/>
      <c r="C8" s="258"/>
      <c r="D8" s="259"/>
      <c r="F8" s="236" t="s">
        <v>74</v>
      </c>
      <c r="G8" s="237"/>
      <c r="H8" s="237"/>
      <c r="I8" s="237"/>
      <c r="J8" s="237"/>
      <c r="K8" s="237"/>
      <c r="L8" s="237"/>
      <c r="M8" s="237"/>
      <c r="N8" s="237"/>
      <c r="O8" s="237"/>
      <c r="P8" s="237"/>
      <c r="Q8" s="237"/>
      <c r="R8" s="237"/>
      <c r="S8" s="238"/>
    </row>
    <row r="9" spans="1:19" ht="15.75" thickBot="1">
      <c r="A9" s="260"/>
      <c r="B9" s="261"/>
      <c r="C9" s="261"/>
      <c r="D9" s="262"/>
      <c r="F9" s="193" t="s">
        <v>28</v>
      </c>
      <c r="G9" s="194"/>
      <c r="H9" s="209" t="s">
        <v>29</v>
      </c>
      <c r="I9" s="210"/>
      <c r="J9" s="191" t="s">
        <v>16</v>
      </c>
      <c r="K9" s="192"/>
      <c r="L9" s="241" t="s">
        <v>19</v>
      </c>
      <c r="M9" s="242"/>
      <c r="N9" s="239" t="s">
        <v>82</v>
      </c>
      <c r="O9" s="240"/>
      <c r="P9" s="263" t="s">
        <v>69</v>
      </c>
      <c r="Q9" s="264"/>
      <c r="R9" s="239" t="s">
        <v>18</v>
      </c>
      <c r="S9" s="240"/>
    </row>
    <row r="10" spans="1:19" ht="15.75" thickBot="1">
      <c r="A10" s="198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99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99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99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99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99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99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99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99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99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99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99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00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198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99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99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99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01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188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89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90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188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IF(B36&lt;&gt;"",TRIM(RIGHT(B36,LEN(B36)-3)),"")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89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IF(B37&lt;&gt;"",TRIM(RIGHT(B37,LEN(B37)-3)),"")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90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IF(B38&lt;&gt;"",TRIM(RIGHT(B38,LEN(B38)-3)),"")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198" t="s">
        <v>51</v>
      </c>
      <c r="B40" s="32" t="s">
        <v>68</v>
      </c>
      <c r="C40" s="32" t="s">
        <v>72</v>
      </c>
      <c r="D40" s="18" t="s">
        <v>52</v>
      </c>
      <c r="F40" s="195" t="s">
        <v>73</v>
      </c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7"/>
    </row>
    <row r="41" spans="1:19" ht="15.75" thickBot="1">
      <c r="A41" s="199"/>
      <c r="B41" s="35" t="s">
        <v>83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199"/>
      <c r="B42" s="50" t="s">
        <v>90</v>
      </c>
      <c r="C42" s="37" t="str">
        <f>IF(SUMIF(Taiere!I2:I99,"CLEAF",Taiere!C2:C99)=0,"",(SUMIF(Taiere!I2:I99,"CLEAF",Taiere!C2:C99)))</f>
        <v/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202">
        <f>IF(COUNTIF(Deco!AA2:AA34,"Vezi EK")&gt;0,0,1)</f>
        <v>1</v>
      </c>
    </row>
    <row r="43" spans="1:19" ht="15.75" thickBot="1">
      <c r="A43" s="199"/>
      <c r="B43" s="50" t="s">
        <v>84</v>
      </c>
      <c r="C43" s="30" t="str">
        <f>IF(SUMIF(B32:B34, "*/600", C32:C34) + SUMIF(B32:B34, "*/650", C32:C34)=0, "",SUMIF(B32:B34, "*/600", C32:C34) + SUMIF(B32:B34, "*/650", C32:C34))</f>
        <v/>
      </c>
      <c r="D43" s="74" t="s">
        <v>55</v>
      </c>
      <c r="E43" s="2"/>
      <c r="F43" s="236" t="str">
        <f>IF(COUNTIF(Deco!AA2:AA34,"Vezi EK")&gt;0,"Atentie! Verifica EK dublaje","Nr. Piese Dublaje")</f>
        <v>Nr. Piese Dublaje</v>
      </c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03"/>
    </row>
    <row r="44" spans="1:19">
      <c r="A44" s="199"/>
      <c r="B44" s="50" t="s">
        <v>89</v>
      </c>
      <c r="C44" s="30" t="str">
        <f>IF(SUMIF(B32:B34, "*/920", C32:C34)=0, "",SUMIF(B32:B34, "*/920", C32:C34))</f>
        <v/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99"/>
      <c r="B45" s="33" t="s">
        <v>91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99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199"/>
      <c r="B47" s="33" t="s">
        <v>86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54</v>
      </c>
      <c r="F47" s="202" t="s">
        <v>34</v>
      </c>
      <c r="G47" s="251" t="str">
        <f>IF(I6="PLAN M",SUM(C11:C28), "N/A")</f>
        <v>N/A</v>
      </c>
      <c r="J47" s="202" t="s">
        <v>88</v>
      </c>
      <c r="K47" s="249">
        <v>1</v>
      </c>
      <c r="N47" s="202" t="s">
        <v>110</v>
      </c>
      <c r="O47" s="205"/>
      <c r="P47" s="206"/>
      <c r="R47" s="202" t="s">
        <v>116</v>
      </c>
      <c r="S47" s="202"/>
    </row>
    <row r="48" spans="1:19" ht="15.75" thickBot="1">
      <c r="A48" s="201"/>
      <c r="B48" s="36" t="s">
        <v>87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55</v>
      </c>
      <c r="F48" s="204"/>
      <c r="G48" s="252"/>
      <c r="J48" s="204"/>
      <c r="K48" s="250"/>
      <c r="N48" s="203"/>
      <c r="O48" s="207"/>
      <c r="P48" s="208"/>
      <c r="R48" s="203"/>
      <c r="S48" s="204"/>
    </row>
    <row r="49" spans="1:19" ht="2.1" hidden="1" customHeight="1">
      <c r="A49" s="40"/>
      <c r="B49" s="41"/>
      <c r="C49" s="1"/>
      <c r="D49" s="2"/>
    </row>
    <row r="50" spans="1:19">
      <c r="A50" s="185" t="s">
        <v>66</v>
      </c>
      <c r="B50" s="175"/>
      <c r="C50" s="176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176"/>
      <c r="O50" s="176"/>
      <c r="P50" s="176"/>
      <c r="Q50" s="176"/>
      <c r="R50" s="176"/>
      <c r="S50" s="177"/>
    </row>
    <row r="51" spans="1:19">
      <c r="A51" s="186"/>
      <c r="B51" s="178"/>
      <c r="C51" s="180"/>
      <c r="D51" s="180"/>
      <c r="E51" s="180"/>
      <c r="F51" s="180"/>
      <c r="G51" s="180"/>
      <c r="H51" s="180"/>
      <c r="I51" s="180"/>
      <c r="J51" s="180"/>
      <c r="K51" s="180"/>
      <c r="L51" s="180"/>
      <c r="M51" s="180"/>
      <c r="N51" s="180"/>
      <c r="O51" s="180"/>
      <c r="P51" s="180"/>
      <c r="Q51" s="180"/>
      <c r="R51" s="180"/>
      <c r="S51" s="179"/>
    </row>
    <row r="52" spans="1:19">
      <c r="A52" s="186"/>
      <c r="B52" s="178"/>
      <c r="C52" s="180"/>
      <c r="D52" s="180"/>
      <c r="E52" s="180"/>
      <c r="F52" s="180"/>
      <c r="G52" s="180"/>
      <c r="H52" s="180"/>
      <c r="I52" s="180"/>
      <c r="J52" s="180"/>
      <c r="K52" s="180"/>
      <c r="L52" s="180"/>
      <c r="M52" s="180"/>
      <c r="N52" s="180"/>
      <c r="O52" s="180"/>
      <c r="P52" s="180"/>
      <c r="Q52" s="180"/>
      <c r="R52" s="180"/>
      <c r="S52" s="179"/>
    </row>
    <row r="53" spans="1:19">
      <c r="A53" s="186"/>
      <c r="B53" s="178"/>
      <c r="C53" s="180"/>
      <c r="D53" s="180"/>
      <c r="E53" s="180"/>
      <c r="F53" s="180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79"/>
    </row>
    <row r="54" spans="1:19">
      <c r="A54" s="186"/>
      <c r="B54" s="178"/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180"/>
      <c r="Q54" s="180"/>
      <c r="R54" s="180"/>
      <c r="S54" s="179"/>
    </row>
    <row r="55" spans="1:19">
      <c r="A55" s="186"/>
      <c r="B55" s="178"/>
      <c r="C55" s="180"/>
      <c r="D55" s="180"/>
      <c r="E55" s="180"/>
      <c r="F55" s="180"/>
      <c r="G55" s="180"/>
      <c r="H55" s="180"/>
      <c r="I55" s="180"/>
      <c r="J55" s="180"/>
      <c r="K55" s="180"/>
      <c r="L55" s="180"/>
      <c r="M55" s="180"/>
      <c r="N55" s="180"/>
      <c r="O55" s="180"/>
      <c r="P55" s="180"/>
      <c r="Q55" s="180"/>
      <c r="R55" s="180"/>
      <c r="S55" s="179"/>
    </row>
    <row r="56" spans="1:19">
      <c r="A56" s="186"/>
      <c r="B56" s="178"/>
      <c r="C56" s="180"/>
      <c r="D56" s="180"/>
      <c r="E56" s="180"/>
      <c r="F56" s="180"/>
      <c r="G56" s="180"/>
      <c r="H56" s="180"/>
      <c r="I56" s="180"/>
      <c r="J56" s="180"/>
      <c r="K56" s="180"/>
      <c r="L56" s="180"/>
      <c r="M56" s="180"/>
      <c r="N56" s="180"/>
      <c r="O56" s="180"/>
      <c r="P56" s="180"/>
      <c r="Q56" s="180"/>
      <c r="R56" s="180"/>
      <c r="S56" s="179"/>
    </row>
    <row r="57" spans="1:19">
      <c r="A57" s="186"/>
      <c r="B57" s="178"/>
      <c r="C57" s="180"/>
      <c r="D57" s="180"/>
      <c r="E57" s="180"/>
      <c r="F57" s="180"/>
      <c r="G57" s="180"/>
      <c r="H57" s="180"/>
      <c r="I57" s="180"/>
      <c r="J57" s="180"/>
      <c r="K57" s="180"/>
      <c r="L57" s="180"/>
      <c r="M57" s="180"/>
      <c r="N57" s="180"/>
      <c r="O57" s="180"/>
      <c r="P57" s="180"/>
      <c r="Q57" s="180"/>
      <c r="R57" s="180"/>
      <c r="S57" s="179"/>
    </row>
    <row r="58" spans="1:19">
      <c r="A58" s="186"/>
      <c r="B58" s="181"/>
      <c r="S58" s="182"/>
    </row>
    <row r="59" spans="1:19">
      <c r="A59" s="186"/>
      <c r="B59" s="181"/>
      <c r="S59" s="182"/>
    </row>
    <row r="60" spans="1:19">
      <c r="A60" s="186"/>
      <c r="B60" s="181"/>
      <c r="S60" s="182"/>
    </row>
    <row r="61" spans="1:19">
      <c r="A61" s="186"/>
      <c r="B61" s="181"/>
      <c r="S61" s="182"/>
    </row>
    <row r="62" spans="1:19">
      <c r="A62" s="186"/>
      <c r="B62" s="181"/>
      <c r="S62" s="182"/>
    </row>
    <row r="63" spans="1:19">
      <c r="A63" s="186"/>
      <c r="B63" s="181"/>
      <c r="S63" s="182"/>
    </row>
    <row r="64" spans="1:19">
      <c r="A64" s="186"/>
      <c r="B64" s="181"/>
      <c r="S64" s="182"/>
    </row>
    <row r="65" spans="1:19">
      <c r="A65" s="186"/>
      <c r="B65" s="181"/>
      <c r="S65" s="182"/>
    </row>
    <row r="66" spans="1:19">
      <c r="A66" s="186"/>
      <c r="B66" s="181"/>
      <c r="S66" s="182"/>
    </row>
    <row r="67" spans="1:19">
      <c r="A67" s="186"/>
      <c r="B67" s="181"/>
      <c r="S67" s="182"/>
    </row>
    <row r="68" spans="1:19" ht="15.75" thickBot="1">
      <c r="A68" s="187"/>
      <c r="B68" s="183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184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B24" sqref="B24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94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92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93</v>
      </c>
      <c r="B199">
        <f>Fisa!O41</f>
        <v>0</v>
      </c>
      <c r="D199" t="str">
        <f t="shared" si="7"/>
        <v>Cant 43/1</v>
      </c>
    </row>
    <row r="200" spans="1:4">
      <c r="A200" t="s">
        <v>75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5" t="s">
        <v>14</v>
      </c>
      <c r="B1" s="265"/>
      <c r="C1" s="265"/>
      <c r="D1" s="265"/>
      <c r="E1" s="265"/>
      <c r="F1" s="265"/>
      <c r="G1" s="265"/>
      <c r="H1" s="265"/>
      <c r="I1" s="265"/>
      <c r="J1" s="265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6">
        <f>Fisa!B3:D3</f>
        <v>0</v>
      </c>
      <c r="C3" s="266"/>
      <c r="D3" s="266"/>
      <c r="E3" s="266"/>
      <c r="F3" s="266"/>
      <c r="G3" s="266"/>
      <c r="H3" s="5"/>
      <c r="I3" s="5"/>
      <c r="J3" s="5"/>
      <c r="K3" s="5"/>
      <c r="L3" s="5"/>
    </row>
    <row r="4" spans="1:12" customFormat="1">
      <c r="A4" s="6" t="s">
        <v>7</v>
      </c>
      <c r="B4" s="267">
        <f>Fisa!B6</f>
        <v>0</v>
      </c>
      <c r="C4" s="267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abSelected="1" zoomScaleNormal="100" workbookViewId="0">
      <selection activeCell="I11" sqref="I11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IF(W2="DB","",
  IF(RIGHT(TRIM(X2),3)=" PS",
    "PS "&amp;SUBSTITUTE(LEFT(TRIM(X2),LEN(TRIM(X2))-3)," ","",1),
    IF(OR(ISNUMBER(FIND(" ST",X2)),ISNUMBER(FIND(" SM",X2)),ISNUMBER(FIND(" PM",X2)),ISNUMBER(FIND(" TM",X2)),ISNUMBER(FIND(" PG",X2)),ISNUMBER(FIND(" PA",X2))),
      SUBSTITUTE(X2," ","",1),
      X2
    )
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0">IFERROR(IF(OR(W3="DB PAL",W3="DB MDF"),ROUND(Q3/13.5,0), ROUND(Q3/P3,2)),"")</f>
        <v/>
      </c>
      <c r="W3" t="str">
        <f t="shared" ref="W3:W34" si="1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IF(W3="DB","",
  IF(RIGHT(TRIM(X3),3)=" PS",
    "PS "&amp;SUBSTITUTE(LEFT(TRIM(X3),LEN(TRIM(X3))-3)," ","",1),
    IF(OR(ISNUMBER(FIND(" ST",X3)),ISNUMBER(FIND(" SM",X3)),ISNUMBER(FIND(" PM",X3)),ISNUMBER(FIND(" TM",X3)),ISNUMBER(FIND(" PG",X3)),ISNUMBER(FIND(" PA",X3))),
      SUBSTITUTE(X3," ","",1),
      X3
    )
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2026-07-10T10:48:09Z</dcterms:modified>
</cp:coreProperties>
</file>