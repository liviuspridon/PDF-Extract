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46699E1F-26F1-4BDD-A64B-6881C6F92CB2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9" l="1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B12" i="6" l="1" a="1"/>
  <c r="B12" i="6" s="1"/>
  <c r="B11" i="6"/>
  <c r="F23" i="6"/>
  <c r="Z16" i="9"/>
  <c r="Z17" i="9"/>
  <c r="Z18" i="9"/>
  <c r="Z19" i="9"/>
  <c r="Z27" i="9"/>
  <c r="Z28" i="9"/>
  <c r="Z29" i="9"/>
  <c r="Z30" i="9"/>
  <c r="Z31" i="9"/>
  <c r="V34" i="9"/>
  <c r="AA34" i="9" s="1"/>
  <c r="V33" i="9"/>
  <c r="AA33" i="9" s="1"/>
  <c r="V32" i="9"/>
  <c r="AA32" i="9" s="1"/>
  <c r="V31" i="9"/>
  <c r="AA31" i="9" s="1"/>
  <c r="V30" i="9"/>
  <c r="AA30" i="9" s="1"/>
  <c r="V29" i="9"/>
  <c r="AA29" i="9" s="1"/>
  <c r="V28" i="9"/>
  <c r="AA28" i="9" s="1"/>
  <c r="V27" i="9"/>
  <c r="AA27" i="9" s="1"/>
  <c r="V26" i="9"/>
  <c r="AA26" i="9" s="1"/>
  <c r="V25" i="9"/>
  <c r="AA25" i="9" s="1"/>
  <c r="V24" i="9"/>
  <c r="AA24" i="9" s="1"/>
  <c r="V23" i="9"/>
  <c r="AA23" i="9" s="1"/>
  <c r="V22" i="9"/>
  <c r="AA22" i="9" s="1"/>
  <c r="V21" i="9"/>
  <c r="AA21" i="9" s="1"/>
  <c r="V20" i="9"/>
  <c r="AA20" i="9" s="1"/>
  <c r="V19" i="9"/>
  <c r="AA19" i="9" s="1"/>
  <c r="V18" i="9"/>
  <c r="AA18" i="9" s="1"/>
  <c r="V17" i="9"/>
  <c r="AA17" i="9" s="1"/>
  <c r="V16" i="9"/>
  <c r="AA16" i="9" s="1"/>
  <c r="V15" i="9"/>
  <c r="AA15" i="9" s="1"/>
  <c r="V14" i="9"/>
  <c r="AA14" i="9" s="1"/>
  <c r="V13" i="9"/>
  <c r="AA13" i="9" s="1"/>
  <c r="V12" i="9"/>
  <c r="AA12" i="9" s="1"/>
  <c r="V11" i="9"/>
  <c r="AA11" i="9" s="1"/>
  <c r="V10" i="9"/>
  <c r="AA10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7" i="9"/>
  <c r="AA7" i="9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8" i="9" l="1"/>
  <c r="AA8" i="9" s="1"/>
  <c r="V9" i="9"/>
  <c r="AA9" i="9" s="1"/>
  <c r="Z6" i="9"/>
  <c r="V2" i="9"/>
  <c r="AA2" i="9" s="1"/>
  <c r="V6" i="9"/>
  <c r="AA6" i="9" s="1"/>
  <c r="Z11" i="9"/>
  <c r="Z8" i="9"/>
  <c r="AA4" i="9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Z3" i="9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Z10" i="9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B14" i="6" s="1" a="1"/>
  <c r="B14" i="6" s="1"/>
  <c r="D14" i="6" s="1" a="1"/>
  <c r="D14" i="6" s="1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F26" i="6" l="1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C47" i="6"/>
  <c r="F15" i="6"/>
  <c r="B16" i="6" a="1"/>
  <c r="B16" i="6" s="1"/>
  <c r="P45" i="6" a="1"/>
  <c r="P45" i="6" s="1"/>
  <c r="Q45" i="6" s="1"/>
  <c r="C42" i="6"/>
  <c r="C41" i="6"/>
  <c r="B13" i="6" a="1"/>
  <c r="B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L20" i="6" l="1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<sst xmlns="http://schemas.openxmlformats.org/spreadsheetml/2006/main" count="205" uniqueCount="118">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</sst>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zoomScaleNormal="100" workbookViewId="0">
      <selection activeCell="Q37" sqref="Q37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SUM(F45:S45)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topLeftCell="A19" zoomScaleNormal="100" workbookViewId="0">
      <selection activeCell="X28" sqref="X28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>
        <f>IFERROR(IF(W2="DB",Q2/13.5, ROUND(Q2/P2,2)),"")</f>
        <v>0</v>
      </c>
      <c r="W2" t="str">
        <f>IF(
    OR(
        AND(D2=2800,E2=2070,OR(B2=19,B2=19.3)),
        AND(D2=2800,E2=1220,B2=18),
        AND(D2=3050,E2=1300,B2=19.3),
        AND(D2=2800, E2=1300,B2=17.5),
        AND(D2=2800, E2=1300,B2=19),
        RIGHT(A2,6)="MDF 3D"
    ),
    "MDF",
    IF(
        AND(
            D2=2800,
            E2=2070,
            OR(B2=18,B2=18.6,B2=8,B2=10,B2=16),
            RIGHT(A2,6)&lt;&gt;"MDF 3D"
        ),
        "PAL",
        IF(
            AND(D2=4100,OR(E2=600,E2=650,E2=920),OR(B2=38,B2=20)),
            "BLAT",
            IF(
                AND(D2=4100,E2=640,OR(B2=9.2,B2=8)),
                "PS",
                IF(B2=2.7,"HDF","DB")
            )
        )
    )
)</f>
        <v>DB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7"/>
      <c r="S3" s="164"/>
      <c r="T3" s="131"/>
      <c r="U3" s="145"/>
      <c r="V3" s="169">
        <f t="shared" ref="V3:V34" si="1">IFERROR(IF(W3="DB",Q3/13.5, ROUND(Q3/P3,2)),"")</f>
        <v>0</v>
      </c>
      <c r="W3" t="str">
        <f t="shared" ref="W3:W34" si="2">IF(
    OR(
        AND(D3=2800,E3=2070,OR(B3=19,B3=19.3)),
        AND(D3=2800,E3=1220,B3=18),
        AND(D3=3050,E3=1300,B3=19.3),
        AND(D3=2800, E3=1300,B3=17.5),
        AND(D3=2800, E3=1300,B3=19),
        RIGHT(A3,6)="MDF 3D"
    ),
    "MDF",
    IF(
        AND(
            D3=2800,
            E3=2070,
            OR(B3=18,B3=18.6,B3=8,B3=10,B3=16),
            RIGHT(A3,6)&lt;&gt;"MDF 3D"
        ),
        "PAL",
        IF(
            AND(D3=4100,OR(E3=600,E3=650,E3=920),OR(B3=38,B3=20)),
            "BLAT",
            IF(
                AND(D3=4100,E3=640,OR(B3=9.2,B3=8)),
                "PS",
                IF(B3=2.7,"HDF","DB")
            )
        )
    )
)</f>
        <v>DB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7"/>
      <c r="S4" s="164"/>
      <c r="T4" s="145"/>
      <c r="U4" s="131"/>
      <c r="V4" s="169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7"/>
      <c r="S5" s="164"/>
      <c r="T5" s="145"/>
      <c r="U5" s="131"/>
      <c r="V5" s="169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7"/>
      <c r="S6" s="164"/>
      <c r="T6" s="145"/>
      <c r="U6" s="131"/>
      <c r="V6" s="169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7"/>
      <c r="S7" s="164"/>
      <c r="T7" s="131"/>
      <c r="U7" s="131"/>
      <c r="V7" s="169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7"/>
      <c r="S8" s="164"/>
      <c r="T8" s="145"/>
      <c r="U8" s="131"/>
      <c r="V8" s="169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7"/>
      <c r="S9" s="164"/>
      <c r="T9" s="145"/>
      <c r="U9" s="129"/>
      <c r="V9" s="169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12" sqref="A1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I13" sqref="I13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2026-06-29T11:59:02Z</dcterms:modified>
</cp:coreProperties>
</file>